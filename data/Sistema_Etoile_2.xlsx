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teo\Documents\etoile-admin\data\"/>
    </mc:Choice>
  </mc:AlternateContent>
  <xr:revisionPtr revIDLastSave="0" documentId="8_{FCCF2584-756A-4E31-A1B5-AAB426DD35F4}" xr6:coauthVersionLast="47" xr6:coauthVersionMax="47" xr10:uidLastSave="{00000000-0000-0000-0000-000000000000}"/>
  <bookViews>
    <workbookView xWindow="-120" yWindow="-120" windowWidth="20730" windowHeight="11160" tabRatio="500" activeTab="1" xr2:uid="{00000000-000D-0000-FFFF-FFFF00000000}"/>
  </bookViews>
  <sheets>
    <sheet name="INVENTARIO" sheetId="1" r:id="rId1"/>
    <sheet name="VENTAS" sheetId="2" r:id="rId2"/>
    <sheet name="HISTORIA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0" i="1" l="1"/>
  <c r="C109" i="1"/>
  <c r="C104" i="1"/>
  <c r="C103" i="1"/>
  <c r="B30" i="1"/>
  <c r="B31" i="1" s="1"/>
  <c r="B32" i="1" s="1"/>
  <c r="B33" i="1" s="1"/>
  <c r="B34" i="1" s="1"/>
  <c r="E6" i="2"/>
  <c r="G6" i="2" s="1"/>
  <c r="D239" i="3"/>
  <c r="C239" i="3"/>
  <c r="B239" i="3"/>
  <c r="A239" i="3"/>
  <c r="D238" i="3"/>
  <c r="C238" i="3"/>
  <c r="B238" i="3"/>
  <c r="A238" i="3"/>
  <c r="D237" i="3"/>
  <c r="C237" i="3"/>
  <c r="B237" i="3"/>
  <c r="A237" i="3"/>
  <c r="D236" i="3"/>
  <c r="C236" i="3"/>
  <c r="B236" i="3"/>
  <c r="A236" i="3"/>
  <c r="D235" i="3"/>
  <c r="C235" i="3"/>
  <c r="B235" i="3"/>
  <c r="A235" i="3"/>
  <c r="D234" i="3"/>
  <c r="C234" i="3"/>
  <c r="B234" i="3"/>
  <c r="A234" i="3"/>
  <c r="D233" i="3"/>
  <c r="C233" i="3"/>
  <c r="B233" i="3"/>
  <c r="A233" i="3"/>
  <c r="D232" i="3"/>
  <c r="C232" i="3"/>
  <c r="B232" i="3"/>
  <c r="A232" i="3"/>
  <c r="D231" i="3"/>
  <c r="C231" i="3"/>
  <c r="B231" i="3"/>
  <c r="A231" i="3"/>
  <c r="D230" i="3"/>
  <c r="C230" i="3"/>
  <c r="B230" i="3"/>
  <c r="A230" i="3"/>
  <c r="D229" i="3"/>
  <c r="C229" i="3"/>
  <c r="B229" i="3"/>
  <c r="A229" i="3"/>
  <c r="D228" i="3"/>
  <c r="C228" i="3"/>
  <c r="B228" i="3"/>
  <c r="A228" i="3"/>
  <c r="D227" i="3"/>
  <c r="C227" i="3"/>
  <c r="B227" i="3"/>
  <c r="A227" i="3"/>
  <c r="D226" i="3"/>
  <c r="C226" i="3"/>
  <c r="B226" i="3"/>
  <c r="A226" i="3"/>
  <c r="D225" i="3"/>
  <c r="C225" i="3"/>
  <c r="B225" i="3"/>
  <c r="A225" i="3"/>
  <c r="D224" i="3"/>
  <c r="C224" i="3"/>
  <c r="B224" i="3"/>
  <c r="A224" i="3"/>
  <c r="D223" i="3"/>
  <c r="C223" i="3"/>
  <c r="B223" i="3"/>
  <c r="A223" i="3"/>
  <c r="D222" i="3"/>
  <c r="C222" i="3"/>
  <c r="B222" i="3"/>
  <c r="A222" i="3"/>
  <c r="D221" i="3"/>
  <c r="C221" i="3"/>
  <c r="B221" i="3"/>
  <c r="A221" i="3"/>
  <c r="D220" i="3"/>
  <c r="C220" i="3"/>
  <c r="B220" i="3"/>
  <c r="A220" i="3"/>
  <c r="D219" i="3"/>
  <c r="C219" i="3"/>
  <c r="B219" i="3"/>
  <c r="A219" i="3"/>
  <c r="D218" i="3"/>
  <c r="C218" i="3"/>
  <c r="B218" i="3"/>
  <c r="A218" i="3"/>
  <c r="D217" i="3"/>
  <c r="C217" i="3"/>
  <c r="B217" i="3"/>
  <c r="A217" i="3"/>
  <c r="D216" i="3"/>
  <c r="C216" i="3"/>
  <c r="B216" i="3"/>
  <c r="A216" i="3"/>
  <c r="C215" i="3"/>
  <c r="B215" i="3"/>
  <c r="A215" i="3"/>
  <c r="C214" i="3"/>
  <c r="B214" i="3"/>
  <c r="A214" i="3"/>
  <c r="C213" i="3"/>
  <c r="B213" i="3"/>
  <c r="A213" i="3"/>
  <c r="H204" i="3"/>
  <c r="G204" i="3"/>
  <c r="E204" i="3"/>
  <c r="D204" i="3"/>
  <c r="C204" i="3"/>
  <c r="H203" i="3"/>
  <c r="G203" i="3"/>
  <c r="E203" i="3"/>
  <c r="D203" i="3"/>
  <c r="C203" i="3"/>
  <c r="H202" i="3"/>
  <c r="G202" i="3"/>
  <c r="E202" i="3"/>
  <c r="D202" i="3"/>
  <c r="C202" i="3"/>
  <c r="H201" i="3"/>
  <c r="G201" i="3"/>
  <c r="E201" i="3"/>
  <c r="D201" i="3"/>
  <c r="C201" i="3"/>
  <c r="H200" i="3"/>
  <c r="G200" i="3"/>
  <c r="E200" i="3"/>
  <c r="D200" i="3"/>
  <c r="C200" i="3"/>
  <c r="H199" i="3"/>
  <c r="G199" i="3"/>
  <c r="E199" i="3"/>
  <c r="D199" i="3"/>
  <c r="C199" i="3"/>
  <c r="H198" i="3"/>
  <c r="G198" i="3"/>
  <c r="E198" i="3"/>
  <c r="D198" i="3"/>
  <c r="C198" i="3"/>
  <c r="H197" i="3"/>
  <c r="G197" i="3"/>
  <c r="E197" i="3"/>
  <c r="D197" i="3"/>
  <c r="C197" i="3"/>
  <c r="H196" i="3"/>
  <c r="G196" i="3"/>
  <c r="E196" i="3"/>
  <c r="D196" i="3"/>
  <c r="C196" i="3"/>
  <c r="H195" i="3"/>
  <c r="G195" i="3"/>
  <c r="E195" i="3"/>
  <c r="D195" i="3"/>
  <c r="C195" i="3"/>
  <c r="H194" i="3"/>
  <c r="G194" i="3"/>
  <c r="E194" i="3"/>
  <c r="D194" i="3"/>
  <c r="C194" i="3"/>
  <c r="H193" i="3"/>
  <c r="G193" i="3"/>
  <c r="E193" i="3"/>
  <c r="D193" i="3"/>
  <c r="C193" i="3"/>
  <c r="H192" i="3"/>
  <c r="G192" i="3"/>
  <c r="E192" i="3"/>
  <c r="D192" i="3"/>
  <c r="C192" i="3"/>
  <c r="H191" i="3"/>
  <c r="G191" i="3"/>
  <c r="E191" i="3"/>
  <c r="D191" i="3"/>
  <c r="C191" i="3"/>
  <c r="H190" i="3"/>
  <c r="G190" i="3"/>
  <c r="E190" i="3"/>
  <c r="D190" i="3"/>
  <c r="C190" i="3"/>
  <c r="H189" i="3"/>
  <c r="G189" i="3"/>
  <c r="E189" i="3"/>
  <c r="D189" i="3"/>
  <c r="C189" i="3"/>
  <c r="H188" i="3"/>
  <c r="G188" i="3"/>
  <c r="E188" i="3"/>
  <c r="D188" i="3"/>
  <c r="C188" i="3"/>
  <c r="H187" i="3"/>
  <c r="G187" i="3"/>
  <c r="E187" i="3"/>
  <c r="D187" i="3"/>
  <c r="C187" i="3"/>
  <c r="H186" i="3"/>
  <c r="G186" i="3"/>
  <c r="E186" i="3"/>
  <c r="D186" i="3"/>
  <c r="C186" i="3"/>
  <c r="H185" i="3"/>
  <c r="G185" i="3"/>
  <c r="E185" i="3"/>
  <c r="D185" i="3"/>
  <c r="C185" i="3"/>
  <c r="H184" i="3"/>
  <c r="G184" i="3"/>
  <c r="E184" i="3"/>
  <c r="D184" i="3"/>
  <c r="C184" i="3"/>
  <c r="H183" i="3"/>
  <c r="G183" i="3"/>
  <c r="E183" i="3"/>
  <c r="D183" i="3"/>
  <c r="C183" i="3"/>
  <c r="H182" i="3"/>
  <c r="G182" i="3"/>
  <c r="E182" i="3"/>
  <c r="D182" i="3"/>
  <c r="C182" i="3"/>
  <c r="H181" i="3"/>
  <c r="G181" i="3"/>
  <c r="E181" i="3"/>
  <c r="D181" i="3"/>
  <c r="C181" i="3"/>
  <c r="H180" i="3"/>
  <c r="G180" i="3"/>
  <c r="E180" i="3"/>
  <c r="D180" i="3"/>
  <c r="C180" i="3"/>
  <c r="H179" i="3"/>
  <c r="G179" i="3"/>
  <c r="E179" i="3"/>
  <c r="D179" i="3"/>
  <c r="C179" i="3"/>
  <c r="H178" i="3"/>
  <c r="G178" i="3"/>
  <c r="E178" i="3"/>
  <c r="D178" i="3"/>
  <c r="C178" i="3"/>
  <c r="H177" i="3"/>
  <c r="G177" i="3"/>
  <c r="E177" i="3"/>
  <c r="D177" i="3"/>
  <c r="C177" i="3"/>
  <c r="H176" i="3"/>
  <c r="G176" i="3"/>
  <c r="E176" i="3"/>
  <c r="D176" i="3"/>
  <c r="C176" i="3"/>
  <c r="H175" i="3"/>
  <c r="G175" i="3"/>
  <c r="E175" i="3"/>
  <c r="D175" i="3"/>
  <c r="C175" i="3"/>
  <c r="H174" i="3"/>
  <c r="G174" i="3"/>
  <c r="E174" i="3"/>
  <c r="D174" i="3"/>
  <c r="C174" i="3"/>
  <c r="H173" i="3"/>
  <c r="G173" i="3"/>
  <c r="E173" i="3"/>
  <c r="D173" i="3"/>
  <c r="C173" i="3"/>
  <c r="H172" i="3"/>
  <c r="G172" i="3"/>
  <c r="E172" i="3"/>
  <c r="D172" i="3"/>
  <c r="C172" i="3"/>
  <c r="H171" i="3"/>
  <c r="G171" i="3"/>
  <c r="E171" i="3"/>
  <c r="D171" i="3"/>
  <c r="C171" i="3"/>
  <c r="H170" i="3"/>
  <c r="G170" i="3"/>
  <c r="E170" i="3"/>
  <c r="D170" i="3"/>
  <c r="C170" i="3"/>
  <c r="H169" i="3"/>
  <c r="G169" i="3"/>
  <c r="E169" i="3"/>
  <c r="D169" i="3"/>
  <c r="C169" i="3"/>
  <c r="H168" i="3"/>
  <c r="G168" i="3"/>
  <c r="E168" i="3"/>
  <c r="D168" i="3"/>
  <c r="C168" i="3"/>
  <c r="H167" i="3"/>
  <c r="G167" i="3"/>
  <c r="E167" i="3"/>
  <c r="D167" i="3"/>
  <c r="C167" i="3"/>
  <c r="H166" i="3"/>
  <c r="G166" i="3"/>
  <c r="E166" i="3"/>
  <c r="D166" i="3"/>
  <c r="C166" i="3"/>
  <c r="H165" i="3"/>
  <c r="G165" i="3"/>
  <c r="E165" i="3"/>
  <c r="D165" i="3"/>
  <c r="C165" i="3"/>
  <c r="H164" i="3"/>
  <c r="G164" i="3"/>
  <c r="E164" i="3"/>
  <c r="D164" i="3"/>
  <c r="C164" i="3"/>
  <c r="H163" i="3"/>
  <c r="G163" i="3"/>
  <c r="E163" i="3"/>
  <c r="D163" i="3"/>
  <c r="C163" i="3"/>
  <c r="H162" i="3"/>
  <c r="G162" i="3"/>
  <c r="E162" i="3"/>
  <c r="D162" i="3"/>
  <c r="C162" i="3"/>
  <c r="H161" i="3"/>
  <c r="G161" i="3"/>
  <c r="E161" i="3"/>
  <c r="D161" i="3"/>
  <c r="C161" i="3"/>
  <c r="H160" i="3"/>
  <c r="G160" i="3"/>
  <c r="E160" i="3"/>
  <c r="D160" i="3"/>
  <c r="C160" i="3"/>
  <c r="H159" i="3"/>
  <c r="G159" i="3"/>
  <c r="E159" i="3"/>
  <c r="D159" i="3"/>
  <c r="C159" i="3"/>
  <c r="H158" i="3"/>
  <c r="G158" i="3"/>
  <c r="E158" i="3"/>
  <c r="D158" i="3"/>
  <c r="C158" i="3"/>
  <c r="H157" i="3"/>
  <c r="G157" i="3"/>
  <c r="E157" i="3"/>
  <c r="D157" i="3"/>
  <c r="C157" i="3"/>
  <c r="H156" i="3"/>
  <c r="G156" i="3"/>
  <c r="E156" i="3"/>
  <c r="D156" i="3"/>
  <c r="C156" i="3"/>
  <c r="H155" i="3"/>
  <c r="G155" i="3"/>
  <c r="E155" i="3"/>
  <c r="D155" i="3"/>
  <c r="C155" i="3"/>
  <c r="H154" i="3"/>
  <c r="G154" i="3"/>
  <c r="E154" i="3"/>
  <c r="D154" i="3"/>
  <c r="C154" i="3"/>
  <c r="H153" i="3"/>
  <c r="G153" i="3"/>
  <c r="E153" i="3"/>
  <c r="D153" i="3"/>
  <c r="C153" i="3"/>
  <c r="H152" i="3"/>
  <c r="G152" i="3"/>
  <c r="E152" i="3"/>
  <c r="D152" i="3"/>
  <c r="C152" i="3"/>
  <c r="H151" i="3"/>
  <c r="G151" i="3"/>
  <c r="E151" i="3"/>
  <c r="D151" i="3"/>
  <c r="C151" i="3"/>
  <c r="H150" i="3"/>
  <c r="G150" i="3"/>
  <c r="E150" i="3"/>
  <c r="D150" i="3"/>
  <c r="C150" i="3"/>
  <c r="H149" i="3"/>
  <c r="G149" i="3"/>
  <c r="E149" i="3"/>
  <c r="D149" i="3"/>
  <c r="C149" i="3"/>
  <c r="H148" i="3"/>
  <c r="G148" i="3"/>
  <c r="E148" i="3"/>
  <c r="D148" i="3"/>
  <c r="C148" i="3"/>
  <c r="H147" i="3"/>
  <c r="G147" i="3"/>
  <c r="E147" i="3"/>
  <c r="D147" i="3"/>
  <c r="C147" i="3"/>
  <c r="H146" i="3"/>
  <c r="G146" i="3"/>
  <c r="E146" i="3"/>
  <c r="D146" i="3"/>
  <c r="C146" i="3"/>
  <c r="H145" i="3"/>
  <c r="G145" i="3"/>
  <c r="E145" i="3"/>
  <c r="D145" i="3"/>
  <c r="C145" i="3"/>
  <c r="H144" i="3"/>
  <c r="G144" i="3"/>
  <c r="E144" i="3"/>
  <c r="D144" i="3"/>
  <c r="C144" i="3"/>
  <c r="H143" i="3"/>
  <c r="G143" i="3"/>
  <c r="E143" i="3"/>
  <c r="D143" i="3"/>
  <c r="C143" i="3"/>
  <c r="H142" i="3"/>
  <c r="G142" i="3"/>
  <c r="E142" i="3"/>
  <c r="D142" i="3"/>
  <c r="C142" i="3"/>
  <c r="H141" i="3"/>
  <c r="G141" i="3"/>
  <c r="E141" i="3"/>
  <c r="D141" i="3"/>
  <c r="C141" i="3"/>
  <c r="H140" i="3"/>
  <c r="G140" i="3"/>
  <c r="E140" i="3"/>
  <c r="D140" i="3"/>
  <c r="C140" i="3"/>
  <c r="H139" i="3"/>
  <c r="G139" i="3"/>
  <c r="E139" i="3"/>
  <c r="D139" i="3"/>
  <c r="C139" i="3"/>
  <c r="H138" i="3"/>
  <c r="G138" i="3"/>
  <c r="E138" i="3"/>
  <c r="D138" i="3"/>
  <c r="C138" i="3"/>
  <c r="H137" i="3"/>
  <c r="G137" i="3"/>
  <c r="E137" i="3"/>
  <c r="D137" i="3"/>
  <c r="C137" i="3"/>
  <c r="H136" i="3"/>
  <c r="G136" i="3"/>
  <c r="E136" i="3"/>
  <c r="D136" i="3"/>
  <c r="C136" i="3"/>
  <c r="H135" i="3"/>
  <c r="G135" i="3"/>
  <c r="E135" i="3"/>
  <c r="D135" i="3"/>
  <c r="C135" i="3"/>
  <c r="H134" i="3"/>
  <c r="G134" i="3"/>
  <c r="E134" i="3"/>
  <c r="D134" i="3"/>
  <c r="C134" i="3"/>
  <c r="H133" i="3"/>
  <c r="G133" i="3"/>
  <c r="E133" i="3"/>
  <c r="D133" i="3"/>
  <c r="C133" i="3"/>
  <c r="H132" i="3"/>
  <c r="G132" i="3"/>
  <c r="E132" i="3"/>
  <c r="D132" i="3"/>
  <c r="C132" i="3"/>
  <c r="H131" i="3"/>
  <c r="G131" i="3"/>
  <c r="E131" i="3"/>
  <c r="D131" i="3"/>
  <c r="C131" i="3"/>
  <c r="H130" i="3"/>
  <c r="G130" i="3"/>
  <c r="E130" i="3"/>
  <c r="D130" i="3"/>
  <c r="C130" i="3"/>
  <c r="H129" i="3"/>
  <c r="G129" i="3"/>
  <c r="E129" i="3"/>
  <c r="D129" i="3"/>
  <c r="C129" i="3"/>
  <c r="H128" i="3"/>
  <c r="G128" i="3"/>
  <c r="E128" i="3"/>
  <c r="D128" i="3"/>
  <c r="C128" i="3"/>
  <c r="H127" i="3"/>
  <c r="G127" i="3"/>
  <c r="E127" i="3"/>
  <c r="D127" i="3"/>
  <c r="C127" i="3"/>
  <c r="H126" i="3"/>
  <c r="G126" i="3"/>
  <c r="E126" i="3"/>
  <c r="D126" i="3"/>
  <c r="C126" i="3"/>
  <c r="H125" i="3"/>
  <c r="G125" i="3"/>
  <c r="E125" i="3"/>
  <c r="D125" i="3"/>
  <c r="C125" i="3"/>
  <c r="H124" i="3"/>
  <c r="G124" i="3"/>
  <c r="E124" i="3"/>
  <c r="D124" i="3"/>
  <c r="C124" i="3"/>
  <c r="H123" i="3"/>
  <c r="G123" i="3"/>
  <c r="E123" i="3"/>
  <c r="D123" i="3"/>
  <c r="C123" i="3"/>
  <c r="H122" i="3"/>
  <c r="G122" i="3"/>
  <c r="E122" i="3"/>
  <c r="D122" i="3"/>
  <c r="C122" i="3"/>
  <c r="H121" i="3"/>
  <c r="G121" i="3"/>
  <c r="E121" i="3"/>
  <c r="D121" i="3"/>
  <c r="C121" i="3"/>
  <c r="H120" i="3"/>
  <c r="G120" i="3"/>
  <c r="E120" i="3"/>
  <c r="D120" i="3"/>
  <c r="C120" i="3"/>
  <c r="H119" i="3"/>
  <c r="G119" i="3"/>
  <c r="E119" i="3"/>
  <c r="D119" i="3"/>
  <c r="C119" i="3"/>
  <c r="H118" i="3"/>
  <c r="G118" i="3"/>
  <c r="E118" i="3"/>
  <c r="D118" i="3"/>
  <c r="C118" i="3"/>
  <c r="H117" i="3"/>
  <c r="G117" i="3"/>
  <c r="E117" i="3"/>
  <c r="D117" i="3"/>
  <c r="C117" i="3"/>
  <c r="H116" i="3"/>
  <c r="G116" i="3"/>
  <c r="E116" i="3"/>
  <c r="D116" i="3"/>
  <c r="C116" i="3"/>
  <c r="H115" i="3"/>
  <c r="G115" i="3"/>
  <c r="E115" i="3"/>
  <c r="D115" i="3"/>
  <c r="C115" i="3"/>
  <c r="H114" i="3"/>
  <c r="G114" i="3"/>
  <c r="E114" i="3"/>
  <c r="D114" i="3"/>
  <c r="C114" i="3"/>
  <c r="H113" i="3"/>
  <c r="G113" i="3"/>
  <c r="E113" i="3"/>
  <c r="D113" i="3"/>
  <c r="C113" i="3"/>
  <c r="H112" i="3"/>
  <c r="G112" i="3"/>
  <c r="E112" i="3"/>
  <c r="D112" i="3"/>
  <c r="C112" i="3"/>
  <c r="H111" i="3"/>
  <c r="G111" i="3"/>
  <c r="E111" i="3"/>
  <c r="D111" i="3"/>
  <c r="C111" i="3"/>
  <c r="H110" i="3"/>
  <c r="G110" i="3"/>
  <c r="E110" i="3"/>
  <c r="D110" i="3"/>
  <c r="C110" i="3"/>
  <c r="H109" i="3"/>
  <c r="G109" i="3"/>
  <c r="E109" i="3"/>
  <c r="D109" i="3"/>
  <c r="C109" i="3"/>
  <c r="H108" i="3"/>
  <c r="G108" i="3"/>
  <c r="E108" i="3"/>
  <c r="D108" i="3"/>
  <c r="C108" i="3"/>
  <c r="H107" i="3"/>
  <c r="G107" i="3"/>
  <c r="E107" i="3"/>
  <c r="D107" i="3"/>
  <c r="C107" i="3"/>
  <c r="H106" i="3"/>
  <c r="G106" i="3"/>
  <c r="E106" i="3"/>
  <c r="D106" i="3"/>
  <c r="C106" i="3"/>
  <c r="H105" i="3"/>
  <c r="G105" i="3"/>
  <c r="E105" i="3"/>
  <c r="D105" i="3"/>
  <c r="C105" i="3"/>
  <c r="H104" i="3"/>
  <c r="G104" i="3"/>
  <c r="E104" i="3"/>
  <c r="D104" i="3"/>
  <c r="C104" i="3"/>
  <c r="H103" i="3"/>
  <c r="G103" i="3"/>
  <c r="E103" i="3"/>
  <c r="D103" i="3"/>
  <c r="C103" i="3"/>
  <c r="H102" i="3"/>
  <c r="G102" i="3"/>
  <c r="E102" i="3"/>
  <c r="D102" i="3"/>
  <c r="C102" i="3"/>
  <c r="H101" i="3"/>
  <c r="G101" i="3"/>
  <c r="E101" i="3"/>
  <c r="D101" i="3"/>
  <c r="C101" i="3"/>
  <c r="H100" i="3"/>
  <c r="G100" i="3"/>
  <c r="E100" i="3"/>
  <c r="D100" i="3"/>
  <c r="C100" i="3"/>
  <c r="H99" i="3"/>
  <c r="G99" i="3"/>
  <c r="E99" i="3"/>
  <c r="D99" i="3"/>
  <c r="C99" i="3"/>
  <c r="H98" i="3"/>
  <c r="G98" i="3"/>
  <c r="E98" i="3"/>
  <c r="D98" i="3"/>
  <c r="C98" i="3"/>
  <c r="H97" i="3"/>
  <c r="G97" i="3"/>
  <c r="E97" i="3"/>
  <c r="D97" i="3"/>
  <c r="C97" i="3"/>
  <c r="H96" i="3"/>
  <c r="G96" i="3"/>
  <c r="E96" i="3"/>
  <c r="D96" i="3"/>
  <c r="C96" i="3"/>
  <c r="H95" i="3"/>
  <c r="G95" i="3"/>
  <c r="E95" i="3"/>
  <c r="D95" i="3"/>
  <c r="C95" i="3"/>
  <c r="H94" i="3"/>
  <c r="G94" i="3"/>
  <c r="E94" i="3"/>
  <c r="D94" i="3"/>
  <c r="C94" i="3"/>
  <c r="H93" i="3"/>
  <c r="G93" i="3"/>
  <c r="E93" i="3"/>
  <c r="D93" i="3"/>
  <c r="C93" i="3"/>
  <c r="H92" i="3"/>
  <c r="G92" i="3"/>
  <c r="E92" i="3"/>
  <c r="D92" i="3"/>
  <c r="C92" i="3"/>
  <c r="H91" i="3"/>
  <c r="G91" i="3"/>
  <c r="E91" i="3"/>
  <c r="D91" i="3"/>
  <c r="C91" i="3"/>
  <c r="H90" i="3"/>
  <c r="G90" i="3"/>
  <c r="E90" i="3"/>
  <c r="D90" i="3"/>
  <c r="C90" i="3"/>
  <c r="H89" i="3"/>
  <c r="G89" i="3"/>
  <c r="E89" i="3"/>
  <c r="D89" i="3"/>
  <c r="C89" i="3"/>
  <c r="H88" i="3"/>
  <c r="G88" i="3"/>
  <c r="E88" i="3"/>
  <c r="D88" i="3"/>
  <c r="C88" i="3"/>
  <c r="H87" i="3"/>
  <c r="G87" i="3"/>
  <c r="E87" i="3"/>
  <c r="D87" i="3"/>
  <c r="C87" i="3"/>
  <c r="H86" i="3"/>
  <c r="G86" i="3"/>
  <c r="E86" i="3"/>
  <c r="D86" i="3"/>
  <c r="C86" i="3"/>
  <c r="H85" i="3"/>
  <c r="G85" i="3"/>
  <c r="E85" i="3"/>
  <c r="D85" i="3"/>
  <c r="C85" i="3"/>
  <c r="H84" i="3"/>
  <c r="G84" i="3"/>
  <c r="E84" i="3"/>
  <c r="D84" i="3"/>
  <c r="C84" i="3"/>
  <c r="H83" i="3"/>
  <c r="G83" i="3"/>
  <c r="E83" i="3"/>
  <c r="D83" i="3"/>
  <c r="C83" i="3"/>
  <c r="H82" i="3"/>
  <c r="G82" i="3"/>
  <c r="E82" i="3"/>
  <c r="D82" i="3"/>
  <c r="C82" i="3"/>
  <c r="H81" i="3"/>
  <c r="G81" i="3"/>
  <c r="E81" i="3"/>
  <c r="D81" i="3"/>
  <c r="C81" i="3"/>
  <c r="H80" i="3"/>
  <c r="G80" i="3"/>
  <c r="E80" i="3"/>
  <c r="D80" i="3"/>
  <c r="C80" i="3"/>
  <c r="H79" i="3"/>
  <c r="G79" i="3"/>
  <c r="E79" i="3"/>
  <c r="D79" i="3"/>
  <c r="C79" i="3"/>
  <c r="H78" i="3"/>
  <c r="G78" i="3"/>
  <c r="E78" i="3"/>
  <c r="D78" i="3"/>
  <c r="C78" i="3"/>
  <c r="H77" i="3"/>
  <c r="G77" i="3"/>
  <c r="E77" i="3"/>
  <c r="D77" i="3"/>
  <c r="C77" i="3"/>
  <c r="H76" i="3"/>
  <c r="G76" i="3"/>
  <c r="E76" i="3"/>
  <c r="D76" i="3"/>
  <c r="C76" i="3"/>
  <c r="H75" i="3"/>
  <c r="G75" i="3"/>
  <c r="E75" i="3"/>
  <c r="D75" i="3"/>
  <c r="C75" i="3"/>
  <c r="H74" i="3"/>
  <c r="G74" i="3"/>
  <c r="E74" i="3"/>
  <c r="D74" i="3"/>
  <c r="C74" i="3"/>
  <c r="H73" i="3"/>
  <c r="G73" i="3"/>
  <c r="E73" i="3"/>
  <c r="D73" i="3"/>
  <c r="C73" i="3"/>
  <c r="H72" i="3"/>
  <c r="G72" i="3"/>
  <c r="E72" i="3"/>
  <c r="D72" i="3"/>
  <c r="C72" i="3"/>
  <c r="H71" i="3"/>
  <c r="G71" i="3"/>
  <c r="E71" i="3"/>
  <c r="D71" i="3"/>
  <c r="C71" i="3"/>
  <c r="H70" i="3"/>
  <c r="G70" i="3"/>
  <c r="E70" i="3"/>
  <c r="D70" i="3"/>
  <c r="C70" i="3"/>
  <c r="H69" i="3"/>
  <c r="G69" i="3"/>
  <c r="E69" i="3"/>
  <c r="D69" i="3"/>
  <c r="C69" i="3"/>
  <c r="H68" i="3"/>
  <c r="G68" i="3"/>
  <c r="E68" i="3"/>
  <c r="D68" i="3"/>
  <c r="C68" i="3"/>
  <c r="H67" i="3"/>
  <c r="G67" i="3"/>
  <c r="E67" i="3"/>
  <c r="D67" i="3"/>
  <c r="C67" i="3"/>
  <c r="H66" i="3"/>
  <c r="G66" i="3"/>
  <c r="E66" i="3"/>
  <c r="D66" i="3"/>
  <c r="C66" i="3"/>
  <c r="H65" i="3"/>
  <c r="G65" i="3"/>
  <c r="E65" i="3"/>
  <c r="D65" i="3"/>
  <c r="C65" i="3"/>
  <c r="H64" i="3"/>
  <c r="G64" i="3"/>
  <c r="E64" i="3"/>
  <c r="D64" i="3"/>
  <c r="C64" i="3"/>
  <c r="H63" i="3"/>
  <c r="G63" i="3"/>
  <c r="E63" i="3"/>
  <c r="D63" i="3"/>
  <c r="C63" i="3"/>
  <c r="H62" i="3"/>
  <c r="G62" i="3"/>
  <c r="E62" i="3"/>
  <c r="D62" i="3"/>
  <c r="C62" i="3"/>
  <c r="H61" i="3"/>
  <c r="G61" i="3"/>
  <c r="E61" i="3"/>
  <c r="D61" i="3"/>
  <c r="C61" i="3"/>
  <c r="H60" i="3"/>
  <c r="G60" i="3"/>
  <c r="E60" i="3"/>
  <c r="D60" i="3"/>
  <c r="C60" i="3"/>
  <c r="H59" i="3"/>
  <c r="G59" i="3"/>
  <c r="E59" i="3"/>
  <c r="D59" i="3"/>
  <c r="C59" i="3"/>
  <c r="H58" i="3"/>
  <c r="G58" i="3"/>
  <c r="E58" i="3"/>
  <c r="D58" i="3"/>
  <c r="C58" i="3"/>
  <c r="H57" i="3"/>
  <c r="G57" i="3"/>
  <c r="E57" i="3"/>
  <c r="D57" i="3"/>
  <c r="C57" i="3"/>
  <c r="H56" i="3"/>
  <c r="G56" i="3"/>
  <c r="E56" i="3"/>
  <c r="D56" i="3"/>
  <c r="C56" i="3"/>
  <c r="H55" i="3"/>
  <c r="G55" i="3"/>
  <c r="E55" i="3"/>
  <c r="D55" i="3"/>
  <c r="C55" i="3"/>
  <c r="H54" i="3"/>
  <c r="G54" i="3"/>
  <c r="E54" i="3"/>
  <c r="D54" i="3"/>
  <c r="C54" i="3"/>
  <c r="H53" i="3"/>
  <c r="G53" i="3"/>
  <c r="E53" i="3"/>
  <c r="D53" i="3"/>
  <c r="C53" i="3"/>
  <c r="H52" i="3"/>
  <c r="G52" i="3"/>
  <c r="E52" i="3"/>
  <c r="D52" i="3"/>
  <c r="C52" i="3"/>
  <c r="H51" i="3"/>
  <c r="G51" i="3"/>
  <c r="E51" i="3"/>
  <c r="D51" i="3"/>
  <c r="C51" i="3"/>
  <c r="H50" i="3"/>
  <c r="G50" i="3"/>
  <c r="E50" i="3"/>
  <c r="D50" i="3"/>
  <c r="C50" i="3"/>
  <c r="H49" i="3"/>
  <c r="G49" i="3"/>
  <c r="E49" i="3"/>
  <c r="D49" i="3"/>
  <c r="C49" i="3"/>
  <c r="H48" i="3"/>
  <c r="G48" i="3"/>
  <c r="E48" i="3"/>
  <c r="D48" i="3"/>
  <c r="C48" i="3"/>
  <c r="H47" i="3"/>
  <c r="G47" i="3"/>
  <c r="E47" i="3"/>
  <c r="D47" i="3"/>
  <c r="C47" i="3"/>
  <c r="H46" i="3"/>
  <c r="G46" i="3"/>
  <c r="E46" i="3"/>
  <c r="D46" i="3"/>
  <c r="C46" i="3"/>
  <c r="H45" i="3"/>
  <c r="G45" i="3"/>
  <c r="E45" i="3"/>
  <c r="D45" i="3"/>
  <c r="C45" i="3"/>
  <c r="H44" i="3"/>
  <c r="G44" i="3"/>
  <c r="E44" i="3"/>
  <c r="D44" i="3"/>
  <c r="C44" i="3"/>
  <c r="H43" i="3"/>
  <c r="G43" i="3"/>
  <c r="E43" i="3"/>
  <c r="D43" i="3"/>
  <c r="C43" i="3"/>
  <c r="H42" i="3"/>
  <c r="G42" i="3"/>
  <c r="E42" i="3"/>
  <c r="D42" i="3"/>
  <c r="C42" i="3"/>
  <c r="H41" i="3"/>
  <c r="G41" i="3"/>
  <c r="E41" i="3"/>
  <c r="D41" i="3"/>
  <c r="C41" i="3"/>
  <c r="H40" i="3"/>
  <c r="G40" i="3"/>
  <c r="E40" i="3"/>
  <c r="D40" i="3"/>
  <c r="C40" i="3"/>
  <c r="H39" i="3"/>
  <c r="G39" i="3"/>
  <c r="E39" i="3"/>
  <c r="D39" i="3"/>
  <c r="C39" i="3"/>
  <c r="H38" i="3"/>
  <c r="G38" i="3"/>
  <c r="E38" i="3"/>
  <c r="D38" i="3"/>
  <c r="C38" i="3"/>
  <c r="H37" i="3"/>
  <c r="G37" i="3"/>
  <c r="E37" i="3"/>
  <c r="D37" i="3"/>
  <c r="C37" i="3"/>
  <c r="H36" i="3"/>
  <c r="G36" i="3"/>
  <c r="E36" i="3"/>
  <c r="D36" i="3"/>
  <c r="C36" i="3"/>
  <c r="H35" i="3"/>
  <c r="G35" i="3"/>
  <c r="E35" i="3"/>
  <c r="D35" i="3"/>
  <c r="C35" i="3"/>
  <c r="H34" i="3"/>
  <c r="G34" i="3"/>
  <c r="E34" i="3"/>
  <c r="D34" i="3"/>
  <c r="C34" i="3"/>
  <c r="H33" i="3"/>
  <c r="G33" i="3"/>
  <c r="E33" i="3"/>
  <c r="D33" i="3"/>
  <c r="C33" i="3"/>
  <c r="H32" i="3"/>
  <c r="G32" i="3"/>
  <c r="E32" i="3"/>
  <c r="D32" i="3"/>
  <c r="C32" i="3"/>
  <c r="H31" i="3"/>
  <c r="G31" i="3"/>
  <c r="E31" i="3"/>
  <c r="D31" i="3"/>
  <c r="C31" i="3"/>
  <c r="H30" i="3"/>
  <c r="G30" i="3"/>
  <c r="E30" i="3"/>
  <c r="D30" i="3"/>
  <c r="C30" i="3"/>
  <c r="H29" i="3"/>
  <c r="G29" i="3"/>
  <c r="E29" i="3"/>
  <c r="D29" i="3"/>
  <c r="C29" i="3"/>
  <c r="H28" i="3"/>
  <c r="G28" i="3"/>
  <c r="E28" i="3"/>
  <c r="D28" i="3"/>
  <c r="C28" i="3"/>
  <c r="H27" i="3"/>
  <c r="G27" i="3"/>
  <c r="E27" i="3"/>
  <c r="D27" i="3"/>
  <c r="C27" i="3"/>
  <c r="H26" i="3"/>
  <c r="G26" i="3"/>
  <c r="E26" i="3"/>
  <c r="D26" i="3"/>
  <c r="C26" i="3"/>
  <c r="H25" i="3"/>
  <c r="G25" i="3"/>
  <c r="E25" i="3"/>
  <c r="D25" i="3"/>
  <c r="C25" i="3"/>
  <c r="H24" i="3"/>
  <c r="G24" i="3"/>
  <c r="E24" i="3"/>
  <c r="D24" i="3"/>
  <c r="C24" i="3"/>
  <c r="H23" i="3"/>
  <c r="G23" i="3"/>
  <c r="E23" i="3"/>
  <c r="D23" i="3"/>
  <c r="C23" i="3"/>
  <c r="H22" i="3"/>
  <c r="G22" i="3"/>
  <c r="E22" i="3"/>
  <c r="D22" i="3"/>
  <c r="C22" i="3"/>
  <c r="H21" i="3"/>
  <c r="G21" i="3"/>
  <c r="E21" i="3"/>
  <c r="D21" i="3"/>
  <c r="C21" i="3"/>
  <c r="H20" i="3"/>
  <c r="G20" i="3"/>
  <c r="E20" i="3"/>
  <c r="D20" i="3"/>
  <c r="C20" i="3"/>
  <c r="H19" i="3"/>
  <c r="G19" i="3"/>
  <c r="E19" i="3"/>
  <c r="D19" i="3"/>
  <c r="C19" i="3"/>
  <c r="H18" i="3"/>
  <c r="G18" i="3"/>
  <c r="E18" i="3"/>
  <c r="D18" i="3"/>
  <c r="C18" i="3"/>
  <c r="H17" i="3"/>
  <c r="G17" i="3"/>
  <c r="E17" i="3"/>
  <c r="D17" i="3"/>
  <c r="C17" i="3"/>
  <c r="H16" i="3"/>
  <c r="G16" i="3"/>
  <c r="E16" i="3"/>
  <c r="D16" i="3"/>
  <c r="C16" i="3"/>
  <c r="H15" i="3"/>
  <c r="G15" i="3"/>
  <c r="E15" i="3"/>
  <c r="D15" i="3"/>
  <c r="C15" i="3"/>
  <c r="H14" i="3"/>
  <c r="G14" i="3"/>
  <c r="E14" i="3"/>
  <c r="D14" i="3"/>
  <c r="C14" i="3"/>
  <c r="H13" i="3"/>
  <c r="G13" i="3"/>
  <c r="E13" i="3"/>
  <c r="D13" i="3"/>
  <c r="C13" i="3"/>
  <c r="H12" i="3"/>
  <c r="G12" i="3"/>
  <c r="E12" i="3"/>
  <c r="D12" i="3"/>
  <c r="C12" i="3"/>
  <c r="H11" i="3"/>
  <c r="G11" i="3"/>
  <c r="E11" i="3"/>
  <c r="D11" i="3"/>
  <c r="C11" i="3"/>
  <c r="G10" i="3"/>
  <c r="H10" i="3" s="1"/>
  <c r="E10" i="3"/>
  <c r="D10" i="3"/>
  <c r="C10" i="3"/>
  <c r="G9" i="3"/>
  <c r="H9" i="3" s="1"/>
  <c r="E9" i="3"/>
  <c r="D9" i="3"/>
  <c r="C9" i="3"/>
  <c r="G8" i="3"/>
  <c r="H8" i="3" s="1"/>
  <c r="E8" i="3"/>
  <c r="D8" i="3"/>
  <c r="C8" i="3"/>
  <c r="G7" i="3"/>
  <c r="H7" i="3" s="1"/>
  <c r="E7" i="3"/>
  <c r="D7" i="3"/>
  <c r="C7" i="3"/>
  <c r="G6" i="3"/>
  <c r="H6" i="3" s="1"/>
  <c r="D215" i="3" s="1"/>
  <c r="E6" i="3"/>
  <c r="D6" i="3"/>
  <c r="C6" i="3"/>
  <c r="G20" i="2"/>
  <c r="E20" i="2"/>
  <c r="D20" i="2"/>
  <c r="C20" i="2"/>
  <c r="B20" i="2"/>
  <c r="G19" i="2"/>
  <c r="E19" i="2"/>
  <c r="D19" i="2"/>
  <c r="C19" i="2"/>
  <c r="B19" i="2"/>
  <c r="G18" i="2"/>
  <c r="E18" i="2"/>
  <c r="D18" i="2"/>
  <c r="C18" i="2"/>
  <c r="B18" i="2"/>
  <c r="G17" i="2"/>
  <c r="E17" i="2"/>
  <c r="D17" i="2"/>
  <c r="C17" i="2"/>
  <c r="B17" i="2"/>
  <c r="G16" i="2"/>
  <c r="E16" i="2"/>
  <c r="D16" i="2"/>
  <c r="C16" i="2"/>
  <c r="B16" i="2"/>
  <c r="G15" i="2"/>
  <c r="E15" i="2"/>
  <c r="D15" i="2"/>
  <c r="C15" i="2"/>
  <c r="B15" i="2"/>
  <c r="G14" i="2"/>
  <c r="E14" i="2"/>
  <c r="D14" i="2"/>
  <c r="C14" i="2"/>
  <c r="B14" i="2"/>
  <c r="G13" i="2"/>
  <c r="E13" i="2"/>
  <c r="D13" i="2"/>
  <c r="C13" i="2"/>
  <c r="B13" i="2"/>
  <c r="G12" i="2"/>
  <c r="E12" i="2"/>
  <c r="D12" i="2"/>
  <c r="C12" i="2"/>
  <c r="B12" i="2"/>
  <c r="G11" i="2"/>
  <c r="E11" i="2"/>
  <c r="D11" i="2"/>
  <c r="C11" i="2"/>
  <c r="B11" i="2"/>
  <c r="G10" i="2"/>
  <c r="E10" i="2"/>
  <c r="D10" i="2"/>
  <c r="C10" i="2"/>
  <c r="B10" i="2"/>
  <c r="G9" i="2"/>
  <c r="E9" i="2"/>
  <c r="D9" i="2"/>
  <c r="C9" i="2"/>
  <c r="B9" i="2"/>
  <c r="E8" i="2"/>
  <c r="G8" i="2" s="1"/>
  <c r="D8" i="2"/>
  <c r="C8" i="2"/>
  <c r="B8" i="2"/>
  <c r="E7" i="2"/>
  <c r="G7" i="2" s="1"/>
  <c r="D7" i="2"/>
  <c r="C7" i="2"/>
  <c r="B7" i="2"/>
  <c r="D6" i="2"/>
  <c r="C6" i="2"/>
  <c r="B6" i="2"/>
  <c r="D214" i="3" l="1"/>
  <c r="H206" i="3"/>
  <c r="D213" i="3"/>
  <c r="G22" i="2"/>
  <c r="G24" i="2" s="1"/>
  <c r="G25" i="2" s="1"/>
</calcChain>
</file>

<file path=xl/sharedStrings.xml><?xml version="1.0" encoding="utf-8"?>
<sst xmlns="http://schemas.openxmlformats.org/spreadsheetml/2006/main" count="595" uniqueCount="218">
  <si>
    <t>INVENTARIO ÉTOILE</t>
  </si>
  <si>
    <t>CODIGO</t>
  </si>
  <si>
    <t>PRENDA</t>
  </si>
  <si>
    <t>COLOR</t>
  </si>
  <si>
    <t>TALLA</t>
  </si>
  <si>
    <t>PRECIO</t>
  </si>
  <si>
    <t>S</t>
  </si>
  <si>
    <t>Negro</t>
  </si>
  <si>
    <t>M</t>
  </si>
  <si>
    <t>PEDIDO / VENTA ÉTOILE</t>
  </si>
  <si>
    <t>Nombre del cliente:</t>
  </si>
  <si>
    <t>Teléfono:</t>
  </si>
  <si>
    <t>CANT</t>
  </si>
  <si>
    <t>SUBTOTAL</t>
  </si>
  <si>
    <t>TOTAL</t>
  </si>
  <si>
    <t>DESCUENTO %</t>
  </si>
  <si>
    <t>MONTO DESCUENTO</t>
  </si>
  <si>
    <t>TOTAL CON DESCUENTO</t>
  </si>
  <si>
    <t>Instrucciones: escribe el CODIGO (hoja INVENTARIO) en la columna A y la cantidad en F. Todo lo demás se llena solo.</t>
  </si>
  <si>
    <t>HISTORIAL DE VENTAS ÉTOILE</t>
  </si>
  <si>
    <t>Registra aquí cada venta CONFIRMADA (una fila por prenda vendida). Esto alimenta el STOCK DISPONIBLE en INVENTARIO.</t>
  </si>
  <si>
    <t>FECHA</t>
  </si>
  <si>
    <t>CLIENTE</t>
  </si>
  <si>
    <t>TOTAL VENDIDO (todo el historial)</t>
  </si>
  <si>
    <t>Instrucciones: cada vez que cierres una venta, agrega una fila aquí con fecha, código y cantidad. Lo demás se llena solo.</t>
  </si>
  <si>
    <t>RESUMEN: CUÁNTO SE HA VENDIDO DE CADA PRENDA</t>
  </si>
  <si>
    <t>CANTIDAD VENDIDA</t>
  </si>
  <si>
    <t>TOTAL EN $</t>
  </si>
  <si>
    <t>Este resumen se actualiza solo. Ordénalo de mayor a menor en "CANTIDAD VENDIDA" para ver qué prendas cortar de nuevo.</t>
  </si>
  <si>
    <t>Vino</t>
  </si>
  <si>
    <t>Blusa Eliana</t>
  </si>
  <si>
    <t>BLEL-VI-S</t>
  </si>
  <si>
    <t>BLEL-VI-M</t>
  </si>
  <si>
    <t>BLAN-NE-S</t>
  </si>
  <si>
    <t>BLAN-NE-M</t>
  </si>
  <si>
    <t>BLAN-RO-S</t>
  </si>
  <si>
    <t>BLAN-RO-M</t>
  </si>
  <si>
    <t>BLAN-BC-S</t>
  </si>
  <si>
    <t>BLAN-BC-M</t>
  </si>
  <si>
    <t>Blusa Ana</t>
  </si>
  <si>
    <t>Palo de Rosa</t>
  </si>
  <si>
    <t>Blanco</t>
  </si>
  <si>
    <t>BLKC-RO-S</t>
  </si>
  <si>
    <t>BLKC-RO-M</t>
  </si>
  <si>
    <t>Blusa Kaila Crop</t>
  </si>
  <si>
    <t>Rosa Pastel</t>
  </si>
  <si>
    <t>BLNH-NE-S</t>
  </si>
  <si>
    <t>BLNH-NE-M</t>
  </si>
  <si>
    <t>BLNH-CF-S</t>
  </si>
  <si>
    <t>BLNH-CF-M</t>
  </si>
  <si>
    <t>BLNH-CB-S</t>
  </si>
  <si>
    <t>BLNH-CB-M</t>
  </si>
  <si>
    <t>Blusa Naho</t>
  </si>
  <si>
    <t>Café</t>
  </si>
  <si>
    <t>Cebra</t>
  </si>
  <si>
    <t>BZSL-BC-ET</t>
  </si>
  <si>
    <t>Buzo Sol</t>
  </si>
  <si>
    <t>Estandar</t>
  </si>
  <si>
    <t>BZCM-NE-S</t>
  </si>
  <si>
    <t>BZCM-NE-M</t>
  </si>
  <si>
    <t>BZCM-BC-S</t>
  </si>
  <si>
    <t>BZCM-BC-M</t>
  </si>
  <si>
    <t>Buzo Carmen</t>
  </si>
  <si>
    <t>BZSM-NE-S</t>
  </si>
  <si>
    <t>BZSM-NE-M</t>
  </si>
  <si>
    <t>BZSM-BC-S</t>
  </si>
  <si>
    <t>BZSM-BC-M</t>
  </si>
  <si>
    <t>Buzo Samara</t>
  </si>
  <si>
    <t>BLM-VN-S</t>
  </si>
  <si>
    <t>BLM-VN-M</t>
  </si>
  <si>
    <t>Blusa Mia</t>
  </si>
  <si>
    <t>Azul marino</t>
  </si>
  <si>
    <t>Blanco perla</t>
  </si>
  <si>
    <t>BLMD-BC-S</t>
  </si>
  <si>
    <t>BLMD-BC-M</t>
  </si>
  <si>
    <t>BLMD-CH-S</t>
  </si>
  <si>
    <t>BLMD-CH-M</t>
  </si>
  <si>
    <t>TPCT-CF-S</t>
  </si>
  <si>
    <t>TPCT-CF-M</t>
  </si>
  <si>
    <t>TPCT-BC-S</t>
  </si>
  <si>
    <t>TPCT-BC-M</t>
  </si>
  <si>
    <t>TPCT-AZP-S</t>
  </si>
  <si>
    <t>TPCT-AZP-M</t>
  </si>
  <si>
    <t>TPCT-AP-S</t>
  </si>
  <si>
    <t>TPCT-AP-M</t>
  </si>
  <si>
    <t>BZKL-AZM-S</t>
  </si>
  <si>
    <t>BZKL-BCP-M</t>
  </si>
  <si>
    <t>BLM-BCP-S</t>
  </si>
  <si>
    <t>BLM-BCP-M</t>
  </si>
  <si>
    <t>BLM-AZM-S</t>
  </si>
  <si>
    <t>BLM-AZM-M</t>
  </si>
  <si>
    <t>BZKL-BCP-S</t>
  </si>
  <si>
    <t>Blusa Merida</t>
  </si>
  <si>
    <t>Top Cristina</t>
  </si>
  <si>
    <t>BZKL-AZM-M</t>
  </si>
  <si>
    <t>Buzo Kelly</t>
  </si>
  <si>
    <t>Chocolate</t>
  </si>
  <si>
    <t>Azul petroleo</t>
  </si>
  <si>
    <t>Animal Print</t>
  </si>
  <si>
    <t>BDSF-NE-S</t>
  </si>
  <si>
    <t>BDSF-NE-M</t>
  </si>
  <si>
    <t>BDBN-BC-M</t>
  </si>
  <si>
    <t>BDBN-NE-S</t>
  </si>
  <si>
    <t>BDBN-NE-M</t>
  </si>
  <si>
    <t>BDBN-RO-S</t>
  </si>
  <si>
    <t>BDBN-RO-M</t>
  </si>
  <si>
    <t>BDBN-CF-S</t>
  </si>
  <si>
    <t>BDBN-CF-M</t>
  </si>
  <si>
    <t>BDBN-AZP-S</t>
  </si>
  <si>
    <t>BDBN-AZP-M</t>
  </si>
  <si>
    <t>BDVR-CH-S</t>
  </si>
  <si>
    <t>BDVR-CH-M</t>
  </si>
  <si>
    <t>BDVR-CR-S</t>
  </si>
  <si>
    <t>BDVR-CR-M</t>
  </si>
  <si>
    <t>BDVR-BC-S</t>
  </si>
  <si>
    <t>BDVR-BC-M</t>
  </si>
  <si>
    <t>BDML-CB-S</t>
  </si>
  <si>
    <t>BDML-CB-M</t>
  </si>
  <si>
    <t>BDMY-BC-S</t>
  </si>
  <si>
    <t>BDMY-BC-M</t>
  </si>
  <si>
    <t>BDVL-LP-S</t>
  </si>
  <si>
    <t>BDVL-LP-M</t>
  </si>
  <si>
    <t>Body Sofia</t>
  </si>
  <si>
    <t>BDBN-BC-S</t>
  </si>
  <si>
    <t>Body Belen</t>
  </si>
  <si>
    <t>Body Valey</t>
  </si>
  <si>
    <t>Body Valery</t>
  </si>
  <si>
    <t>Body Miley</t>
  </si>
  <si>
    <t>Body Valeska</t>
  </si>
  <si>
    <t>Rojo</t>
  </si>
  <si>
    <t>café</t>
  </si>
  <si>
    <t>Crema</t>
  </si>
  <si>
    <t>Leopardo</t>
  </si>
  <si>
    <t>BLOB-NE-S</t>
  </si>
  <si>
    <t>BLOB-NE-M</t>
  </si>
  <si>
    <t>BLOB-RO-S</t>
  </si>
  <si>
    <t>BLOB-RO-M</t>
  </si>
  <si>
    <t>BLOB-BL-S</t>
  </si>
  <si>
    <t>BLOB-BL-M</t>
  </si>
  <si>
    <t>BLEC-NE-S</t>
  </si>
  <si>
    <t>BLEC-NE-M</t>
  </si>
  <si>
    <t>BLEC-BL-S</t>
  </si>
  <si>
    <t>BLEC-BL-M</t>
  </si>
  <si>
    <t>BLEC-RO-S</t>
  </si>
  <si>
    <t>BLEC-RO-M</t>
  </si>
  <si>
    <t>BLEC-CF-S</t>
  </si>
  <si>
    <t>BLEC-CF-M</t>
  </si>
  <si>
    <t>BLSM-CL-E</t>
  </si>
  <si>
    <t>BLSM-NE-E</t>
  </si>
  <si>
    <t>BLSM-RS-E</t>
  </si>
  <si>
    <t>BLSM-AV-E</t>
  </si>
  <si>
    <t>BLDN-AV-S</t>
  </si>
  <si>
    <t>BLDN-AV-M</t>
  </si>
  <si>
    <t>BLDN-NE-S</t>
  </si>
  <si>
    <t>BLDN-NE-M</t>
  </si>
  <si>
    <t>BLDN-RS-S</t>
  </si>
  <si>
    <t>BLDN-RS-M</t>
  </si>
  <si>
    <t>BLCH-AV-E</t>
  </si>
  <si>
    <t>BLCH-AV-S</t>
  </si>
  <si>
    <t>BLCH-AV-M</t>
  </si>
  <si>
    <t>BLCH-NE-E</t>
  </si>
  <si>
    <t>BLCH-NE-S</t>
  </si>
  <si>
    <t>BLCH-NE-M</t>
  </si>
  <si>
    <t>BLCH-RSP-E</t>
  </si>
  <si>
    <t>BLCH-RSP-S</t>
  </si>
  <si>
    <t>BLCH-RSP-M</t>
  </si>
  <si>
    <t>BLCH-BL-E</t>
  </si>
  <si>
    <t>BLCH-BL-S</t>
  </si>
  <si>
    <t>BLCH-BL-M</t>
  </si>
  <si>
    <t>BLCH-CL-E</t>
  </si>
  <si>
    <t>BLCH-CL-S</t>
  </si>
  <si>
    <t>BLCH-CL-M</t>
  </si>
  <si>
    <t>BLPL-AV-E</t>
  </si>
  <si>
    <t>BLPL-AV-S</t>
  </si>
  <si>
    <t>BLPL-AV-M</t>
  </si>
  <si>
    <t>BLPL-NE-E</t>
  </si>
  <si>
    <t>BLPL-NE-S</t>
  </si>
  <si>
    <t>BLPL-NE-M</t>
  </si>
  <si>
    <t>BLPL-RS-E</t>
  </si>
  <si>
    <t>BLPL-RS-S</t>
  </si>
  <si>
    <t>BLPL-RS-M</t>
  </si>
  <si>
    <t>BLPL-CL-E</t>
  </si>
  <si>
    <t>BLPL-CL-S</t>
  </si>
  <si>
    <t>BLPL-CL-M</t>
  </si>
  <si>
    <t>BLHB-NE-E</t>
  </si>
  <si>
    <t>BLHB-N-S</t>
  </si>
  <si>
    <t>BLHB-NE-M</t>
  </si>
  <si>
    <t>BLHB-RO-E</t>
  </si>
  <si>
    <t>BLHB-RO-M</t>
  </si>
  <si>
    <t>BLHB-RO-S</t>
  </si>
  <si>
    <t>BLLA-CL-E</t>
  </si>
  <si>
    <t>BLLA-BL-E</t>
  </si>
  <si>
    <t>BLLA-RO-E</t>
  </si>
  <si>
    <t>BLLA-CHC-E</t>
  </si>
  <si>
    <t>BLMR-AV-E</t>
  </si>
  <si>
    <t>BLMR-AV-S</t>
  </si>
  <si>
    <t>BLMR-AV-M</t>
  </si>
  <si>
    <t>BLMR-RO-E</t>
  </si>
  <si>
    <t>BLMR-RO-S</t>
  </si>
  <si>
    <t>BLMR-RO-M</t>
  </si>
  <si>
    <t>BLMR-CL-E</t>
  </si>
  <si>
    <t>BLMR-CL-S</t>
  </si>
  <si>
    <t>BLMR-CL-M</t>
  </si>
  <si>
    <t>BLUSA OPEN BACK</t>
  </si>
  <si>
    <t>Blusa Escote Cowl</t>
  </si>
  <si>
    <t>Blusa Samantha</t>
  </si>
  <si>
    <t>Celeste</t>
  </si>
  <si>
    <t xml:space="preserve">Rosa  </t>
  </si>
  <si>
    <t>Rosa</t>
  </si>
  <si>
    <t>Avellana</t>
  </si>
  <si>
    <t>Blusa Daniela</t>
  </si>
  <si>
    <t>Blusa Charllote</t>
  </si>
  <si>
    <t>Rojo tinto</t>
  </si>
  <si>
    <t>Chocolate claro</t>
  </si>
  <si>
    <t>Blusa Paola</t>
  </si>
  <si>
    <t>Blusa Hombro</t>
  </si>
  <si>
    <t>Blusa Lia</t>
  </si>
  <si>
    <t>Blusa 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</si>
</sst>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\$#,##0.00"/>
    <numFmt numFmtId="165" formatCode="0\%"/>
    <numFmt numFmtId="166" formatCode="dd/mm/yyyy"/>
  </numFmts>
  <fonts count="10" x14ac:knownFonts="1">
    <font>
      <sz val="11"/>
      <color theme="1"/>
      <name val="Calibri"/>
      <family val="2"/>
      <charset val="1"/>
    </font>
    <font>
      <b/>
      <sz val="16"/>
      <color rgb="FFE8A1AC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b/>
      <sz val="12"/>
      <name val="Arial"/>
      <charset val="1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8A1AC"/>
        <bgColor rgb="FFFF8080"/>
      </patternFill>
    </fill>
    <fill>
      <patternFill patternType="solid">
        <fgColor rgb="FFFFF9C4"/>
        <bgColor rgb="FFFFFF99"/>
      </patternFill>
    </fill>
    <fill>
      <patternFill patternType="solid">
        <fgColor rgb="FFFCE4EC"/>
        <bgColor rgb="FFFFF9C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0" fillId="3" borderId="1" xfId="0" applyFill="1" applyBorder="1"/>
    <xf numFmtId="0" fontId="4" fillId="0" borderId="0" xfId="0" applyFont="1"/>
    <xf numFmtId="0" fontId="5" fillId="0" borderId="0" xfId="0" applyFont="1"/>
    <xf numFmtId="0" fontId="3" fillId="3" borderId="1" xfId="0" applyFont="1" applyFill="1" applyBorder="1"/>
    <xf numFmtId="164" fontId="0" fillId="0" borderId="1" xfId="0" applyNumberFormat="1" applyBorder="1"/>
    <xf numFmtId="0" fontId="0" fillId="3" borderId="1" xfId="0" applyFill="1" applyBorder="1" applyAlignment="1">
      <alignment horizontal="center"/>
    </xf>
    <xf numFmtId="0" fontId="6" fillId="0" borderId="0" xfId="0" applyFont="1"/>
    <xf numFmtId="164" fontId="6" fillId="0" borderId="0" xfId="0" applyNumberFormat="1" applyFont="1"/>
    <xf numFmtId="165" fontId="0" fillId="3" borderId="1" xfId="0" applyNumberFormat="1" applyFill="1" applyBorder="1"/>
    <xf numFmtId="164" fontId="0" fillId="0" borderId="0" xfId="0" applyNumberFormat="1"/>
    <xf numFmtId="0" fontId="6" fillId="4" borderId="0" xfId="0" applyFont="1" applyFill="1"/>
    <xf numFmtId="0" fontId="0" fillId="4" borderId="0" xfId="0" applyFill="1"/>
    <xf numFmtId="164" fontId="6" fillId="4" borderId="0" xfId="0" applyNumberFormat="1" applyFont="1" applyFill="1"/>
    <xf numFmtId="166" fontId="0" fillId="3" borderId="1" xfId="0" applyNumberFormat="1" applyFill="1" applyBorder="1"/>
    <xf numFmtId="164" fontId="3" fillId="0" borderId="1" xfId="0" applyNumberFormat="1" applyFont="1" applyBorder="1"/>
    <xf numFmtId="0" fontId="7" fillId="2" borderId="1" xfId="0" applyFont="1" applyFill="1" applyBorder="1" applyAlignment="1">
      <alignment horizontal="center" vertical="center"/>
    </xf>
    <xf numFmtId="44" fontId="3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2" xfId="0" applyFont="1" applyFill="1" applyBorder="1"/>
    <xf numFmtId="0" fontId="9" fillId="0" borderId="0" xfId="0" applyFont="1"/>
    <xf numFmtId="0" fontId="1" fillId="0" borderId="0" xfId="0" applyFont="1" applyBorder="1"/>
    <xf numFmtId="0" fontId="5" fillId="0" borderId="0" xfId="0" applyFont="1" applyBorder="1"/>
    <xf numFmtId="0" fontId="6" fillId="4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8A1A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466725</xdr:colOff>
      <xdr:row>103</xdr:row>
      <xdr:rowOff>142875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4CCE3A29-638F-958A-C5C5-F3FD5B8EA71E}"/>
            </a:ext>
          </a:extLst>
        </xdr:cNvPr>
        <xdr:cNvSpPr txBox="1"/>
      </xdr:nvSpPr>
      <xdr:spPr>
        <a:xfrm>
          <a:off x="6962775" y="1983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C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161925</xdr:colOff>
          <xdr:row>28</xdr:row>
          <xdr:rowOff>85725</xdr:rowOff>
        </xdr:from>
        <xdr:to>
          <xdr:col>6</xdr:col>
          <xdr:colOff>1219200</xdr:colOff>
          <xdr:row>29</xdr:row>
          <xdr:rowOff>133350</xdr:rowOff>
        </xdr:to>
        <xdr:sp macro="" textlink="">
          <xdr:nvSpPr>
            <xdr:cNvPr id="1029" name="Butto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1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EC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Guardar Venta 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7"/>
  <sheetViews>
    <sheetView showGridLines="0" topLeftCell="A40" zoomScaleNormal="100" workbookViewId="0">
      <selection activeCell="E145" sqref="E145"/>
    </sheetView>
  </sheetViews>
  <sheetFormatPr baseColWidth="10" defaultColWidth="8.7109375" defaultRowHeight="15" x14ac:dyDescent="0.25"/>
  <cols>
    <col min="1" max="1" width="16" customWidth="1"/>
    <col min="2" max="2" width="20" customWidth="1"/>
    <col min="3" max="3" width="12" customWidth="1"/>
    <col min="4" max="5" width="10" customWidth="1"/>
    <col min="6" max="6" width="12" customWidth="1"/>
  </cols>
  <sheetData>
    <row r="1" spans="1:6" ht="20.25" x14ac:dyDescent="0.3">
      <c r="A1" s="25" t="s">
        <v>0</v>
      </c>
      <c r="B1" s="25"/>
      <c r="C1" s="25"/>
      <c r="D1" s="25"/>
      <c r="E1" s="25"/>
      <c r="F1" s="25"/>
    </row>
    <row r="3" spans="1:6" x14ac:dyDescent="0.25">
      <c r="A3" s="1" t="s">
        <v>1</v>
      </c>
      <c r="B3" s="1" t="s">
        <v>2</v>
      </c>
      <c r="C3" s="1" t="s">
        <v>3</v>
      </c>
      <c r="D3" s="1" t="s">
        <v>4</v>
      </c>
      <c r="E3" s="20" t="s">
        <v>5</v>
      </c>
    </row>
    <row r="4" spans="1:6" x14ac:dyDescent="0.25">
      <c r="A4" s="2" t="s">
        <v>31</v>
      </c>
      <c r="B4" s="2" t="s">
        <v>30</v>
      </c>
      <c r="C4" s="2" t="s">
        <v>29</v>
      </c>
      <c r="D4" s="2" t="s">
        <v>6</v>
      </c>
      <c r="E4" s="21">
        <v>8</v>
      </c>
    </row>
    <row r="5" spans="1:6" x14ac:dyDescent="0.25">
      <c r="A5" s="2" t="s">
        <v>32</v>
      </c>
      <c r="B5" s="2" t="s">
        <v>30</v>
      </c>
      <c r="C5" s="2" t="s">
        <v>29</v>
      </c>
      <c r="D5" s="2" t="s">
        <v>8</v>
      </c>
      <c r="E5" s="21">
        <v>8</v>
      </c>
    </row>
    <row r="6" spans="1:6" x14ac:dyDescent="0.25">
      <c r="A6" s="2" t="s">
        <v>33</v>
      </c>
      <c r="B6" s="2" t="s">
        <v>39</v>
      </c>
      <c r="C6" s="2" t="s">
        <v>7</v>
      </c>
      <c r="D6" s="2" t="s">
        <v>6</v>
      </c>
      <c r="E6" s="21">
        <v>6</v>
      </c>
    </row>
    <row r="7" spans="1:6" x14ac:dyDescent="0.25">
      <c r="A7" s="2" t="s">
        <v>34</v>
      </c>
      <c r="B7" s="2" t="s">
        <v>39</v>
      </c>
      <c r="C7" s="2" t="s">
        <v>7</v>
      </c>
      <c r="D7" s="2" t="s">
        <v>8</v>
      </c>
      <c r="E7" s="21">
        <v>6</v>
      </c>
    </row>
    <row r="8" spans="1:6" x14ac:dyDescent="0.25">
      <c r="A8" s="2" t="s">
        <v>35</v>
      </c>
      <c r="B8" s="2" t="s">
        <v>39</v>
      </c>
      <c r="C8" s="2" t="s">
        <v>40</v>
      </c>
      <c r="D8" s="2" t="s">
        <v>6</v>
      </c>
      <c r="E8" s="21">
        <v>6</v>
      </c>
    </row>
    <row r="9" spans="1:6" x14ac:dyDescent="0.25">
      <c r="A9" s="2" t="s">
        <v>36</v>
      </c>
      <c r="B9" s="2" t="s">
        <v>39</v>
      </c>
      <c r="C9" s="2" t="s">
        <v>40</v>
      </c>
      <c r="D9" s="2" t="s">
        <v>8</v>
      </c>
      <c r="E9" s="21">
        <v>6</v>
      </c>
    </row>
    <row r="10" spans="1:6" x14ac:dyDescent="0.25">
      <c r="A10" s="2" t="s">
        <v>37</v>
      </c>
      <c r="B10" s="2" t="s">
        <v>39</v>
      </c>
      <c r="C10" s="2" t="s">
        <v>41</v>
      </c>
      <c r="D10" s="2" t="s">
        <v>6</v>
      </c>
      <c r="E10" s="21">
        <v>6</v>
      </c>
    </row>
    <row r="11" spans="1:6" x14ac:dyDescent="0.25">
      <c r="A11" s="2" t="s">
        <v>38</v>
      </c>
      <c r="B11" s="2" t="s">
        <v>39</v>
      </c>
      <c r="C11" s="2" t="s">
        <v>41</v>
      </c>
      <c r="D11" s="2" t="s">
        <v>8</v>
      </c>
      <c r="E11" s="21">
        <v>6</v>
      </c>
    </row>
    <row r="12" spans="1:6" x14ac:dyDescent="0.25">
      <c r="A12" s="2" t="s">
        <v>42</v>
      </c>
      <c r="B12" s="2" t="s">
        <v>44</v>
      </c>
      <c r="C12" s="2" t="s">
        <v>45</v>
      </c>
      <c r="D12" s="2" t="s">
        <v>6</v>
      </c>
      <c r="E12" s="21">
        <v>6</v>
      </c>
    </row>
    <row r="13" spans="1:6" x14ac:dyDescent="0.25">
      <c r="A13" s="2" t="s">
        <v>43</v>
      </c>
      <c r="B13" s="2" t="s">
        <v>44</v>
      </c>
      <c r="C13" s="2" t="s">
        <v>45</v>
      </c>
      <c r="D13" s="2" t="s">
        <v>8</v>
      </c>
      <c r="E13" s="21">
        <v>6</v>
      </c>
    </row>
    <row r="14" spans="1:6" x14ac:dyDescent="0.25">
      <c r="A14" s="2" t="s">
        <v>46</v>
      </c>
      <c r="B14" s="2" t="s">
        <v>52</v>
      </c>
      <c r="C14" s="2" t="s">
        <v>7</v>
      </c>
      <c r="D14" s="2" t="s">
        <v>6</v>
      </c>
      <c r="E14" s="21">
        <v>8</v>
      </c>
    </row>
    <row r="15" spans="1:6" x14ac:dyDescent="0.25">
      <c r="A15" s="2" t="s">
        <v>47</v>
      </c>
      <c r="B15" s="2" t="s">
        <v>52</v>
      </c>
      <c r="C15" s="2" t="s">
        <v>7</v>
      </c>
      <c r="D15" s="2" t="s">
        <v>8</v>
      </c>
      <c r="E15" s="21">
        <v>8</v>
      </c>
    </row>
    <row r="16" spans="1:6" x14ac:dyDescent="0.25">
      <c r="A16" s="2" t="s">
        <v>48</v>
      </c>
      <c r="B16" s="2" t="s">
        <v>52</v>
      </c>
      <c r="C16" s="2" t="s">
        <v>53</v>
      </c>
      <c r="D16" s="2" t="s">
        <v>6</v>
      </c>
      <c r="E16" s="21">
        <v>8</v>
      </c>
    </row>
    <row r="17" spans="1:5" x14ac:dyDescent="0.25">
      <c r="A17" s="2" t="s">
        <v>49</v>
      </c>
      <c r="B17" s="2" t="s">
        <v>52</v>
      </c>
      <c r="C17" s="2" t="s">
        <v>53</v>
      </c>
      <c r="D17" s="2" t="s">
        <v>8</v>
      </c>
      <c r="E17" s="21">
        <v>8</v>
      </c>
    </row>
    <row r="18" spans="1:5" x14ac:dyDescent="0.25">
      <c r="A18" s="2" t="s">
        <v>50</v>
      </c>
      <c r="B18" s="2" t="s">
        <v>52</v>
      </c>
      <c r="C18" s="2" t="s">
        <v>54</v>
      </c>
      <c r="D18" s="2" t="s">
        <v>6</v>
      </c>
      <c r="E18" s="21">
        <v>8</v>
      </c>
    </row>
    <row r="19" spans="1:5" x14ac:dyDescent="0.25">
      <c r="A19" s="2" t="s">
        <v>51</v>
      </c>
      <c r="B19" s="2" t="s">
        <v>52</v>
      </c>
      <c r="C19" s="2" t="s">
        <v>54</v>
      </c>
      <c r="D19" s="2" t="s">
        <v>8</v>
      </c>
      <c r="E19" s="21">
        <v>8</v>
      </c>
    </row>
    <row r="20" spans="1:5" x14ac:dyDescent="0.25">
      <c r="A20" s="2" t="s">
        <v>55</v>
      </c>
      <c r="B20" s="2" t="s">
        <v>56</v>
      </c>
      <c r="C20" s="2" t="s">
        <v>41</v>
      </c>
      <c r="D20" s="2" t="s">
        <v>57</v>
      </c>
      <c r="E20" s="21">
        <v>9.5</v>
      </c>
    </row>
    <row r="21" spans="1:5" x14ac:dyDescent="0.25">
      <c r="A21" s="2" t="s">
        <v>58</v>
      </c>
      <c r="B21" s="2" t="s">
        <v>62</v>
      </c>
      <c r="C21" s="2" t="s">
        <v>7</v>
      </c>
      <c r="D21" s="2" t="s">
        <v>6</v>
      </c>
      <c r="E21" s="21">
        <v>9</v>
      </c>
    </row>
    <row r="22" spans="1:5" x14ac:dyDescent="0.25">
      <c r="A22" s="2" t="s">
        <v>59</v>
      </c>
      <c r="B22" s="2" t="s">
        <v>62</v>
      </c>
      <c r="C22" s="2" t="s">
        <v>7</v>
      </c>
      <c r="D22" s="2" t="s">
        <v>8</v>
      </c>
      <c r="E22" s="21">
        <v>9</v>
      </c>
    </row>
    <row r="23" spans="1:5" x14ac:dyDescent="0.25">
      <c r="A23" s="2" t="s">
        <v>60</v>
      </c>
      <c r="B23" s="2" t="s">
        <v>62</v>
      </c>
      <c r="C23" s="2" t="s">
        <v>41</v>
      </c>
      <c r="D23" s="2" t="s">
        <v>6</v>
      </c>
      <c r="E23" s="21">
        <v>9</v>
      </c>
    </row>
    <row r="24" spans="1:5" x14ac:dyDescent="0.25">
      <c r="A24" s="2" t="s">
        <v>61</v>
      </c>
      <c r="B24" s="2" t="s">
        <v>62</v>
      </c>
      <c r="C24" s="2" t="s">
        <v>41</v>
      </c>
      <c r="D24" s="2" t="s">
        <v>8</v>
      </c>
      <c r="E24" s="21">
        <v>9</v>
      </c>
    </row>
    <row r="25" spans="1:5" x14ac:dyDescent="0.25">
      <c r="A25" s="2" t="s">
        <v>63</v>
      </c>
      <c r="B25" s="2" t="s">
        <v>67</v>
      </c>
      <c r="C25" s="2" t="s">
        <v>7</v>
      </c>
      <c r="D25" s="2" t="s">
        <v>6</v>
      </c>
      <c r="E25" s="21">
        <v>8.5</v>
      </c>
    </row>
    <row r="26" spans="1:5" x14ac:dyDescent="0.25">
      <c r="A26" s="2" t="s">
        <v>64</v>
      </c>
      <c r="B26" s="2" t="s">
        <v>67</v>
      </c>
      <c r="C26" s="2" t="s">
        <v>7</v>
      </c>
      <c r="D26" s="2" t="s">
        <v>8</v>
      </c>
      <c r="E26" s="21">
        <v>8.5</v>
      </c>
    </row>
    <row r="27" spans="1:5" x14ac:dyDescent="0.25">
      <c r="A27" s="2" t="s">
        <v>65</v>
      </c>
      <c r="B27" s="2" t="s">
        <v>67</v>
      </c>
      <c r="C27" s="2" t="s">
        <v>41</v>
      </c>
      <c r="D27" s="2" t="s">
        <v>6</v>
      </c>
      <c r="E27" s="21">
        <v>8.5</v>
      </c>
    </row>
    <row r="28" spans="1:5" x14ac:dyDescent="0.25">
      <c r="A28" s="2" t="s">
        <v>66</v>
      </c>
      <c r="B28" s="2" t="s">
        <v>67</v>
      </c>
      <c r="C28" s="2" t="s">
        <v>41</v>
      </c>
      <c r="D28" s="2" t="s">
        <v>8</v>
      </c>
      <c r="E28" s="21">
        <v>8.5</v>
      </c>
    </row>
    <row r="29" spans="1:5" x14ac:dyDescent="0.25">
      <c r="A29" s="2" t="s">
        <v>87</v>
      </c>
      <c r="B29" s="2" t="s">
        <v>70</v>
      </c>
      <c r="C29" s="2" t="s">
        <v>72</v>
      </c>
      <c r="D29" s="2" t="s">
        <v>6</v>
      </c>
      <c r="E29" s="21">
        <v>8</v>
      </c>
    </row>
    <row r="30" spans="1:5" x14ac:dyDescent="0.25">
      <c r="A30" s="2" t="s">
        <v>88</v>
      </c>
      <c r="B30" s="2" t="str">
        <f>B29</f>
        <v>Blusa Mia</v>
      </c>
      <c r="C30" s="2" t="s">
        <v>72</v>
      </c>
      <c r="D30" s="2" t="s">
        <v>8</v>
      </c>
      <c r="E30" s="21">
        <v>8</v>
      </c>
    </row>
    <row r="31" spans="1:5" x14ac:dyDescent="0.25">
      <c r="A31" s="2" t="s">
        <v>68</v>
      </c>
      <c r="B31" s="2" t="str">
        <f t="shared" ref="B31:B34" si="0">B30</f>
        <v>Blusa Mia</v>
      </c>
      <c r="C31" s="2" t="s">
        <v>29</v>
      </c>
      <c r="D31" s="2" t="s">
        <v>6</v>
      </c>
      <c r="E31" s="21">
        <v>8</v>
      </c>
    </row>
    <row r="32" spans="1:5" x14ac:dyDescent="0.25">
      <c r="A32" s="2" t="s">
        <v>69</v>
      </c>
      <c r="B32" s="2" t="str">
        <f t="shared" si="0"/>
        <v>Blusa Mia</v>
      </c>
      <c r="C32" s="2" t="s">
        <v>29</v>
      </c>
      <c r="D32" s="2" t="s">
        <v>8</v>
      </c>
      <c r="E32" s="21">
        <v>8</v>
      </c>
    </row>
    <row r="33" spans="1:5" x14ac:dyDescent="0.25">
      <c r="A33" s="2" t="s">
        <v>89</v>
      </c>
      <c r="B33" s="2" t="str">
        <f t="shared" si="0"/>
        <v>Blusa Mia</v>
      </c>
      <c r="C33" s="2" t="s">
        <v>71</v>
      </c>
      <c r="D33" s="2" t="s">
        <v>6</v>
      </c>
      <c r="E33" s="21">
        <v>8</v>
      </c>
    </row>
    <row r="34" spans="1:5" x14ac:dyDescent="0.25">
      <c r="A34" s="2" t="s">
        <v>90</v>
      </c>
      <c r="B34" s="2" t="str">
        <f t="shared" si="0"/>
        <v>Blusa Mia</v>
      </c>
      <c r="C34" s="2" t="s">
        <v>71</v>
      </c>
      <c r="D34" s="2" t="s">
        <v>8</v>
      </c>
      <c r="E34" s="21">
        <v>8</v>
      </c>
    </row>
    <row r="35" spans="1:5" x14ac:dyDescent="0.25">
      <c r="A35" s="2" t="s">
        <v>73</v>
      </c>
      <c r="B35" s="2" t="s">
        <v>92</v>
      </c>
      <c r="C35" s="2" t="s">
        <v>41</v>
      </c>
      <c r="D35" s="2" t="s">
        <v>6</v>
      </c>
      <c r="E35" s="21">
        <v>7</v>
      </c>
    </row>
    <row r="36" spans="1:5" x14ac:dyDescent="0.25">
      <c r="A36" s="2" t="s">
        <v>74</v>
      </c>
      <c r="B36" s="2" t="s">
        <v>92</v>
      </c>
      <c r="C36" s="2" t="s">
        <v>41</v>
      </c>
      <c r="D36" s="2" t="s">
        <v>8</v>
      </c>
      <c r="E36" s="21">
        <v>7</v>
      </c>
    </row>
    <row r="37" spans="1:5" x14ac:dyDescent="0.25">
      <c r="A37" s="2" t="s">
        <v>75</v>
      </c>
      <c r="B37" s="2" t="s">
        <v>92</v>
      </c>
      <c r="C37" s="2" t="s">
        <v>96</v>
      </c>
      <c r="D37" s="2" t="s">
        <v>6</v>
      </c>
      <c r="E37" s="21">
        <v>7</v>
      </c>
    </row>
    <row r="38" spans="1:5" x14ac:dyDescent="0.25">
      <c r="A38" s="2" t="s">
        <v>76</v>
      </c>
      <c r="B38" s="2" t="s">
        <v>92</v>
      </c>
      <c r="C38" s="2" t="s">
        <v>96</v>
      </c>
      <c r="D38" s="2" t="s">
        <v>8</v>
      </c>
      <c r="E38" s="21">
        <v>7</v>
      </c>
    </row>
    <row r="39" spans="1:5" x14ac:dyDescent="0.25">
      <c r="A39" s="2" t="s">
        <v>77</v>
      </c>
      <c r="B39" s="2" t="s">
        <v>93</v>
      </c>
      <c r="C39" s="2" t="s">
        <v>53</v>
      </c>
      <c r="D39" s="2" t="s">
        <v>6</v>
      </c>
      <c r="E39" s="21">
        <v>5</v>
      </c>
    </row>
    <row r="40" spans="1:5" x14ac:dyDescent="0.25">
      <c r="A40" s="2" t="s">
        <v>78</v>
      </c>
      <c r="B40" s="2" t="s">
        <v>93</v>
      </c>
      <c r="C40" s="2" t="s">
        <v>53</v>
      </c>
      <c r="D40" s="2" t="s">
        <v>8</v>
      </c>
      <c r="E40" s="21">
        <v>5</v>
      </c>
    </row>
    <row r="41" spans="1:5" x14ac:dyDescent="0.25">
      <c r="A41" s="2" t="s">
        <v>79</v>
      </c>
      <c r="B41" s="2" t="s">
        <v>93</v>
      </c>
      <c r="C41" s="2" t="s">
        <v>41</v>
      </c>
      <c r="D41" s="2" t="s">
        <v>6</v>
      </c>
      <c r="E41" s="21">
        <v>5</v>
      </c>
    </row>
    <row r="42" spans="1:5" x14ac:dyDescent="0.25">
      <c r="A42" s="2" t="s">
        <v>80</v>
      </c>
      <c r="B42" s="2" t="s">
        <v>93</v>
      </c>
      <c r="C42" s="2" t="s">
        <v>41</v>
      </c>
      <c r="D42" s="2" t="s">
        <v>8</v>
      </c>
      <c r="E42" s="21">
        <v>5</v>
      </c>
    </row>
    <row r="43" spans="1:5" x14ac:dyDescent="0.25">
      <c r="A43" s="2" t="s">
        <v>81</v>
      </c>
      <c r="B43" s="2" t="s">
        <v>93</v>
      </c>
      <c r="C43" s="2" t="s">
        <v>97</v>
      </c>
      <c r="D43" s="2" t="s">
        <v>6</v>
      </c>
      <c r="E43" s="21">
        <v>5</v>
      </c>
    </row>
    <row r="44" spans="1:5" x14ac:dyDescent="0.25">
      <c r="A44" s="2" t="s">
        <v>82</v>
      </c>
      <c r="B44" s="2" t="s">
        <v>93</v>
      </c>
      <c r="C44" s="2" t="s">
        <v>97</v>
      </c>
      <c r="D44" s="2" t="s">
        <v>8</v>
      </c>
      <c r="E44" s="21">
        <v>5</v>
      </c>
    </row>
    <row r="45" spans="1:5" x14ac:dyDescent="0.25">
      <c r="A45" s="2" t="s">
        <v>83</v>
      </c>
      <c r="B45" s="2" t="s">
        <v>93</v>
      </c>
      <c r="C45" s="2" t="s">
        <v>98</v>
      </c>
      <c r="D45" s="2" t="s">
        <v>6</v>
      </c>
      <c r="E45" s="21">
        <v>5</v>
      </c>
    </row>
    <row r="46" spans="1:5" x14ac:dyDescent="0.25">
      <c r="A46" s="2" t="s">
        <v>84</v>
      </c>
      <c r="B46" s="2" t="s">
        <v>93</v>
      </c>
      <c r="C46" s="2" t="s">
        <v>98</v>
      </c>
      <c r="D46" s="2" t="s">
        <v>8</v>
      </c>
      <c r="E46" s="21">
        <v>5</v>
      </c>
    </row>
    <row r="47" spans="1:5" x14ac:dyDescent="0.25">
      <c r="A47" s="2" t="s">
        <v>85</v>
      </c>
      <c r="B47" s="2" t="s">
        <v>95</v>
      </c>
      <c r="C47" s="2" t="s">
        <v>71</v>
      </c>
      <c r="D47" s="2" t="s">
        <v>6</v>
      </c>
      <c r="E47" s="21">
        <v>9</v>
      </c>
    </row>
    <row r="48" spans="1:5" x14ac:dyDescent="0.25">
      <c r="A48" s="2" t="s">
        <v>94</v>
      </c>
      <c r="B48" s="2" t="s">
        <v>95</v>
      </c>
      <c r="C48" s="2" t="s">
        <v>71</v>
      </c>
      <c r="D48" s="2" t="s">
        <v>8</v>
      </c>
      <c r="E48" s="21">
        <v>9</v>
      </c>
    </row>
    <row r="49" spans="1:5" x14ac:dyDescent="0.25">
      <c r="A49" s="2" t="s">
        <v>91</v>
      </c>
      <c r="B49" s="2" t="s">
        <v>95</v>
      </c>
      <c r="C49" s="2" t="s">
        <v>72</v>
      </c>
      <c r="D49" s="2" t="s">
        <v>6</v>
      </c>
      <c r="E49" s="21">
        <v>9</v>
      </c>
    </row>
    <row r="50" spans="1:5" x14ac:dyDescent="0.25">
      <c r="A50" s="2" t="s">
        <v>86</v>
      </c>
      <c r="B50" s="2" t="s">
        <v>95</v>
      </c>
      <c r="C50" s="2" t="s">
        <v>72</v>
      </c>
      <c r="D50" s="2" t="s">
        <v>8</v>
      </c>
      <c r="E50" s="21">
        <v>9</v>
      </c>
    </row>
    <row r="51" spans="1:5" x14ac:dyDescent="0.25">
      <c r="A51" s="2" t="s">
        <v>99</v>
      </c>
      <c r="B51" s="2" t="s">
        <v>122</v>
      </c>
      <c r="C51" s="2" t="s">
        <v>7</v>
      </c>
      <c r="D51" s="2" t="s">
        <v>6</v>
      </c>
      <c r="E51" s="21">
        <v>8</v>
      </c>
    </row>
    <row r="52" spans="1:5" x14ac:dyDescent="0.25">
      <c r="A52" s="2" t="s">
        <v>100</v>
      </c>
      <c r="B52" s="2" t="s">
        <v>122</v>
      </c>
      <c r="C52" s="2" t="s">
        <v>7</v>
      </c>
      <c r="D52" s="2" t="s">
        <v>8</v>
      </c>
      <c r="E52" s="21">
        <v>8</v>
      </c>
    </row>
    <row r="53" spans="1:5" x14ac:dyDescent="0.25">
      <c r="A53" s="2" t="s">
        <v>123</v>
      </c>
      <c r="B53" s="2" t="s">
        <v>124</v>
      </c>
      <c r="C53" s="2" t="s">
        <v>41</v>
      </c>
      <c r="D53" s="2" t="s">
        <v>6</v>
      </c>
      <c r="E53" s="21">
        <v>10</v>
      </c>
    </row>
    <row r="54" spans="1:5" x14ac:dyDescent="0.25">
      <c r="A54" s="2" t="s">
        <v>101</v>
      </c>
      <c r="B54" s="2" t="s">
        <v>124</v>
      </c>
      <c r="C54" s="2" t="s">
        <v>41</v>
      </c>
      <c r="D54" s="2" t="s">
        <v>8</v>
      </c>
      <c r="E54" s="21">
        <v>10</v>
      </c>
    </row>
    <row r="55" spans="1:5" x14ac:dyDescent="0.25">
      <c r="A55" s="2" t="s">
        <v>102</v>
      </c>
      <c r="B55" s="2" t="s">
        <v>124</v>
      </c>
      <c r="C55" s="2" t="s">
        <v>7</v>
      </c>
      <c r="D55" s="2" t="s">
        <v>6</v>
      </c>
      <c r="E55" s="21">
        <v>10</v>
      </c>
    </row>
    <row r="56" spans="1:5" x14ac:dyDescent="0.25">
      <c r="A56" s="2" t="s">
        <v>103</v>
      </c>
      <c r="B56" s="2" t="s">
        <v>124</v>
      </c>
      <c r="C56" s="2" t="s">
        <v>7</v>
      </c>
      <c r="D56" s="2" t="s">
        <v>8</v>
      </c>
      <c r="E56" s="21">
        <v>10</v>
      </c>
    </row>
    <row r="57" spans="1:5" x14ac:dyDescent="0.25">
      <c r="A57" s="2" t="s">
        <v>104</v>
      </c>
      <c r="B57" s="2" t="s">
        <v>124</v>
      </c>
      <c r="C57" s="2" t="s">
        <v>129</v>
      </c>
      <c r="D57" s="2" t="s">
        <v>6</v>
      </c>
      <c r="E57" s="21">
        <v>10</v>
      </c>
    </row>
    <row r="58" spans="1:5" x14ac:dyDescent="0.25">
      <c r="A58" s="2" t="s">
        <v>105</v>
      </c>
      <c r="B58" s="2" t="s">
        <v>124</v>
      </c>
      <c r="C58" s="2" t="s">
        <v>129</v>
      </c>
      <c r="D58" s="2" t="s">
        <v>8</v>
      </c>
      <c r="E58" s="21">
        <v>10</v>
      </c>
    </row>
    <row r="59" spans="1:5" x14ac:dyDescent="0.25">
      <c r="A59" s="2" t="s">
        <v>106</v>
      </c>
      <c r="B59" s="2" t="s">
        <v>124</v>
      </c>
      <c r="C59" s="2" t="s">
        <v>53</v>
      </c>
      <c r="D59" s="2" t="s">
        <v>6</v>
      </c>
      <c r="E59" s="21">
        <v>10</v>
      </c>
    </row>
    <row r="60" spans="1:5" x14ac:dyDescent="0.25">
      <c r="A60" s="2" t="s">
        <v>107</v>
      </c>
      <c r="B60" s="2" t="s">
        <v>124</v>
      </c>
      <c r="C60" s="2" t="s">
        <v>130</v>
      </c>
      <c r="D60" s="2" t="s">
        <v>8</v>
      </c>
      <c r="E60" s="21">
        <v>10</v>
      </c>
    </row>
    <row r="61" spans="1:5" x14ac:dyDescent="0.25">
      <c r="A61" s="2" t="s">
        <v>108</v>
      </c>
      <c r="B61" s="2" t="s">
        <v>124</v>
      </c>
      <c r="C61" s="2" t="s">
        <v>97</v>
      </c>
      <c r="D61" s="2" t="s">
        <v>6</v>
      </c>
      <c r="E61" s="21">
        <v>10</v>
      </c>
    </row>
    <row r="62" spans="1:5" x14ac:dyDescent="0.25">
      <c r="A62" s="2" t="s">
        <v>109</v>
      </c>
      <c r="B62" s="2" t="s">
        <v>124</v>
      </c>
      <c r="C62" s="2" t="s">
        <v>97</v>
      </c>
      <c r="D62" s="2" t="s">
        <v>8</v>
      </c>
      <c r="E62" s="21">
        <v>10</v>
      </c>
    </row>
    <row r="63" spans="1:5" x14ac:dyDescent="0.25">
      <c r="A63" s="2" t="s">
        <v>110</v>
      </c>
      <c r="B63" s="2" t="s">
        <v>125</v>
      </c>
      <c r="C63" s="2" t="s">
        <v>96</v>
      </c>
      <c r="D63" s="2" t="s">
        <v>6</v>
      </c>
      <c r="E63" s="21">
        <v>10</v>
      </c>
    </row>
    <row r="64" spans="1:5" x14ac:dyDescent="0.25">
      <c r="A64" s="2" t="s">
        <v>111</v>
      </c>
      <c r="B64" s="2" t="s">
        <v>126</v>
      </c>
      <c r="C64" s="2" t="s">
        <v>96</v>
      </c>
      <c r="D64" s="2" t="s">
        <v>8</v>
      </c>
      <c r="E64" s="21">
        <v>10</v>
      </c>
    </row>
    <row r="65" spans="1:5" x14ac:dyDescent="0.25">
      <c r="A65" s="2" t="s">
        <v>112</v>
      </c>
      <c r="B65" s="2" t="s">
        <v>126</v>
      </c>
      <c r="C65" s="2" t="s">
        <v>131</v>
      </c>
      <c r="D65" s="2" t="s">
        <v>6</v>
      </c>
      <c r="E65" s="21">
        <v>10</v>
      </c>
    </row>
    <row r="66" spans="1:5" x14ac:dyDescent="0.25">
      <c r="A66" s="2" t="s">
        <v>113</v>
      </c>
      <c r="B66" s="2" t="s">
        <v>126</v>
      </c>
      <c r="C66" s="2" t="s">
        <v>131</v>
      </c>
      <c r="D66" s="2" t="s">
        <v>8</v>
      </c>
      <c r="E66" s="21">
        <v>10</v>
      </c>
    </row>
    <row r="67" spans="1:5" x14ac:dyDescent="0.25">
      <c r="A67" s="2" t="s">
        <v>114</v>
      </c>
      <c r="B67" s="2" t="s">
        <v>126</v>
      </c>
      <c r="C67" s="2" t="s">
        <v>41</v>
      </c>
      <c r="D67" s="2" t="s">
        <v>6</v>
      </c>
      <c r="E67" s="21">
        <v>10</v>
      </c>
    </row>
    <row r="68" spans="1:5" x14ac:dyDescent="0.25">
      <c r="A68" s="2" t="s">
        <v>115</v>
      </c>
      <c r="B68" s="2" t="s">
        <v>126</v>
      </c>
      <c r="C68" s="2" t="s">
        <v>41</v>
      </c>
      <c r="D68" s="2" t="s">
        <v>8</v>
      </c>
      <c r="E68" s="21">
        <v>10</v>
      </c>
    </row>
    <row r="69" spans="1:5" x14ac:dyDescent="0.25">
      <c r="A69" s="2" t="s">
        <v>116</v>
      </c>
      <c r="B69" s="2" t="s">
        <v>127</v>
      </c>
      <c r="C69" s="2" t="s">
        <v>54</v>
      </c>
      <c r="D69" s="2" t="s">
        <v>6</v>
      </c>
      <c r="E69" s="21">
        <v>10</v>
      </c>
    </row>
    <row r="70" spans="1:5" x14ac:dyDescent="0.25">
      <c r="A70" s="2" t="s">
        <v>117</v>
      </c>
      <c r="B70" s="2" t="s">
        <v>127</v>
      </c>
      <c r="C70" s="2" t="s">
        <v>54</v>
      </c>
      <c r="D70" s="2" t="s">
        <v>8</v>
      </c>
      <c r="E70" s="21">
        <v>10</v>
      </c>
    </row>
    <row r="71" spans="1:5" x14ac:dyDescent="0.25">
      <c r="A71" s="2" t="s">
        <v>118</v>
      </c>
      <c r="B71" s="2" t="s">
        <v>127</v>
      </c>
      <c r="C71" s="2" t="s">
        <v>41</v>
      </c>
      <c r="D71" s="2" t="s">
        <v>6</v>
      </c>
      <c r="E71" s="21">
        <v>10</v>
      </c>
    </row>
    <row r="72" spans="1:5" x14ac:dyDescent="0.25">
      <c r="A72" s="2" t="s">
        <v>119</v>
      </c>
      <c r="B72" s="2" t="s">
        <v>127</v>
      </c>
      <c r="C72" s="2" t="s">
        <v>41</v>
      </c>
      <c r="D72" s="2" t="s">
        <v>8</v>
      </c>
      <c r="E72" s="21">
        <v>10</v>
      </c>
    </row>
    <row r="73" spans="1:5" x14ac:dyDescent="0.25">
      <c r="A73" s="2" t="s">
        <v>120</v>
      </c>
      <c r="B73" s="2" t="s">
        <v>128</v>
      </c>
      <c r="C73" s="2" t="s">
        <v>132</v>
      </c>
      <c r="D73" s="2" t="s">
        <v>6</v>
      </c>
      <c r="E73" s="21">
        <v>10</v>
      </c>
    </row>
    <row r="74" spans="1:5" x14ac:dyDescent="0.25">
      <c r="A74" s="2" t="s">
        <v>121</v>
      </c>
      <c r="B74" s="2" t="s">
        <v>128</v>
      </c>
      <c r="C74" s="2" t="s">
        <v>132</v>
      </c>
      <c r="D74" s="2" t="s">
        <v>8</v>
      </c>
      <c r="E74" s="21">
        <v>10</v>
      </c>
    </row>
    <row r="75" spans="1:5" x14ac:dyDescent="0.25">
      <c r="A75" s="22" t="s">
        <v>133</v>
      </c>
      <c r="B75" s="22" t="s">
        <v>203</v>
      </c>
      <c r="C75" s="2" t="s">
        <v>7</v>
      </c>
      <c r="D75" s="2" t="s">
        <v>6</v>
      </c>
      <c r="E75" s="21">
        <v>7</v>
      </c>
    </row>
    <row r="76" spans="1:5" x14ac:dyDescent="0.25">
      <c r="A76" s="22" t="s">
        <v>134</v>
      </c>
      <c r="B76" s="22" t="s">
        <v>203</v>
      </c>
      <c r="C76" s="2" t="s">
        <v>7</v>
      </c>
      <c r="D76" s="2" t="s">
        <v>8</v>
      </c>
      <c r="E76" s="21">
        <v>7</v>
      </c>
    </row>
    <row r="77" spans="1:5" x14ac:dyDescent="0.25">
      <c r="A77" s="22" t="s">
        <v>135</v>
      </c>
      <c r="B77" s="22" t="s">
        <v>203</v>
      </c>
      <c r="C77" s="2" t="s">
        <v>129</v>
      </c>
      <c r="D77" s="2" t="s">
        <v>6</v>
      </c>
      <c r="E77" s="21">
        <v>7</v>
      </c>
    </row>
    <row r="78" spans="1:5" x14ac:dyDescent="0.25">
      <c r="A78" s="22" t="s">
        <v>136</v>
      </c>
      <c r="B78" s="22" t="s">
        <v>203</v>
      </c>
      <c r="C78" s="2" t="s">
        <v>129</v>
      </c>
      <c r="D78" s="2" t="s">
        <v>8</v>
      </c>
      <c r="E78" s="21">
        <v>7</v>
      </c>
    </row>
    <row r="79" spans="1:5" x14ac:dyDescent="0.25">
      <c r="A79" s="22" t="s">
        <v>137</v>
      </c>
      <c r="B79" s="22" t="s">
        <v>203</v>
      </c>
      <c r="C79" s="2" t="s">
        <v>41</v>
      </c>
      <c r="D79" s="2" t="s">
        <v>6</v>
      </c>
      <c r="E79" s="21">
        <v>7</v>
      </c>
    </row>
    <row r="80" spans="1:5" x14ac:dyDescent="0.25">
      <c r="A80" s="22" t="s">
        <v>138</v>
      </c>
      <c r="B80" s="22" t="s">
        <v>203</v>
      </c>
      <c r="C80" s="2" t="s">
        <v>41</v>
      </c>
      <c r="D80" s="2" t="s">
        <v>8</v>
      </c>
      <c r="E80" s="21">
        <v>7</v>
      </c>
    </row>
    <row r="81" spans="1:5" x14ac:dyDescent="0.25">
      <c r="A81" s="22" t="s">
        <v>139</v>
      </c>
      <c r="B81" s="2" t="s">
        <v>204</v>
      </c>
      <c r="C81" s="22" t="s">
        <v>7</v>
      </c>
      <c r="D81" s="2" t="s">
        <v>6</v>
      </c>
      <c r="E81" s="21">
        <v>7</v>
      </c>
    </row>
    <row r="82" spans="1:5" x14ac:dyDescent="0.25">
      <c r="A82" s="22" t="s">
        <v>140</v>
      </c>
      <c r="B82" s="2" t="s">
        <v>204</v>
      </c>
      <c r="C82" s="22" t="s">
        <v>7</v>
      </c>
      <c r="D82" s="2" t="s">
        <v>8</v>
      </c>
      <c r="E82" s="21">
        <v>7</v>
      </c>
    </row>
    <row r="83" spans="1:5" x14ac:dyDescent="0.25">
      <c r="A83" s="22" t="s">
        <v>141</v>
      </c>
      <c r="B83" s="2" t="s">
        <v>204</v>
      </c>
      <c r="C83" s="22" t="s">
        <v>41</v>
      </c>
      <c r="D83" s="2" t="s">
        <v>6</v>
      </c>
      <c r="E83" s="21">
        <v>7</v>
      </c>
    </row>
    <row r="84" spans="1:5" x14ac:dyDescent="0.25">
      <c r="A84" s="22" t="s">
        <v>142</v>
      </c>
      <c r="B84" s="2" t="s">
        <v>204</v>
      </c>
      <c r="C84" s="22" t="s">
        <v>41</v>
      </c>
      <c r="D84" s="2" t="s">
        <v>8</v>
      </c>
      <c r="E84" s="21">
        <v>7</v>
      </c>
    </row>
    <row r="85" spans="1:5" x14ac:dyDescent="0.25">
      <c r="A85" s="22" t="s">
        <v>143</v>
      </c>
      <c r="B85" s="2" t="s">
        <v>204</v>
      </c>
      <c r="C85" s="22" t="s">
        <v>129</v>
      </c>
      <c r="D85" s="2" t="s">
        <v>6</v>
      </c>
      <c r="E85" s="21">
        <v>7</v>
      </c>
    </row>
    <row r="86" spans="1:5" x14ac:dyDescent="0.25">
      <c r="A86" s="22" t="s">
        <v>144</v>
      </c>
      <c r="B86" s="2" t="s">
        <v>204</v>
      </c>
      <c r="C86" s="22" t="s">
        <v>129</v>
      </c>
      <c r="D86" s="2" t="s">
        <v>8</v>
      </c>
      <c r="E86" s="21">
        <v>7</v>
      </c>
    </row>
    <row r="87" spans="1:5" x14ac:dyDescent="0.25">
      <c r="A87" s="22" t="s">
        <v>145</v>
      </c>
      <c r="B87" s="2" t="s">
        <v>204</v>
      </c>
      <c r="C87" s="22" t="s">
        <v>53</v>
      </c>
      <c r="D87" s="2" t="s">
        <v>6</v>
      </c>
      <c r="E87" s="21">
        <v>7</v>
      </c>
    </row>
    <row r="88" spans="1:5" x14ac:dyDescent="0.25">
      <c r="A88" s="22" t="s">
        <v>146</v>
      </c>
      <c r="B88" s="2" t="s">
        <v>204</v>
      </c>
      <c r="C88" s="22" t="s">
        <v>53</v>
      </c>
      <c r="D88" s="2" t="s">
        <v>8</v>
      </c>
      <c r="E88" s="21">
        <v>7</v>
      </c>
    </row>
    <row r="89" spans="1:5" x14ac:dyDescent="0.25">
      <c r="A89" s="22" t="s">
        <v>147</v>
      </c>
      <c r="B89" s="22" t="s">
        <v>205</v>
      </c>
      <c r="C89" s="2" t="s">
        <v>206</v>
      </c>
      <c r="D89" s="2" t="s">
        <v>57</v>
      </c>
      <c r="E89" s="21">
        <v>6</v>
      </c>
    </row>
    <row r="90" spans="1:5" x14ac:dyDescent="0.25">
      <c r="A90" s="22" t="s">
        <v>148</v>
      </c>
      <c r="B90" s="22" t="s">
        <v>205</v>
      </c>
      <c r="C90" s="2" t="s">
        <v>7</v>
      </c>
      <c r="D90" s="2" t="s">
        <v>57</v>
      </c>
      <c r="E90" s="21">
        <v>6</v>
      </c>
    </row>
    <row r="91" spans="1:5" x14ac:dyDescent="0.25">
      <c r="A91" s="22" t="s">
        <v>149</v>
      </c>
      <c r="B91" s="22" t="s">
        <v>205</v>
      </c>
      <c r="C91" s="2" t="s">
        <v>207</v>
      </c>
      <c r="D91" s="2" t="s">
        <v>57</v>
      </c>
      <c r="E91" s="21">
        <v>6</v>
      </c>
    </row>
    <row r="92" spans="1:5" x14ac:dyDescent="0.25">
      <c r="A92" s="22" t="s">
        <v>150</v>
      </c>
      <c r="B92" s="22" t="s">
        <v>205</v>
      </c>
      <c r="C92" s="2" t="s">
        <v>209</v>
      </c>
      <c r="D92" s="2" t="s">
        <v>57</v>
      </c>
      <c r="E92" s="21">
        <v>6</v>
      </c>
    </row>
    <row r="93" spans="1:5" x14ac:dyDescent="0.25">
      <c r="A93" s="22" t="s">
        <v>151</v>
      </c>
      <c r="B93" s="2" t="s">
        <v>210</v>
      </c>
      <c r="C93" s="2" t="s">
        <v>209</v>
      </c>
      <c r="D93" s="2" t="s">
        <v>6</v>
      </c>
      <c r="E93" s="21">
        <v>6</v>
      </c>
    </row>
    <row r="94" spans="1:5" x14ac:dyDescent="0.25">
      <c r="A94" s="22" t="s">
        <v>152</v>
      </c>
      <c r="B94" s="2" t="s">
        <v>210</v>
      </c>
      <c r="C94" s="2" t="s">
        <v>209</v>
      </c>
      <c r="D94" s="2" t="s">
        <v>8</v>
      </c>
      <c r="E94" s="21">
        <v>6</v>
      </c>
    </row>
    <row r="95" spans="1:5" x14ac:dyDescent="0.25">
      <c r="A95" s="22" t="s">
        <v>153</v>
      </c>
      <c r="B95" s="2" t="s">
        <v>210</v>
      </c>
      <c r="C95" s="2" t="s">
        <v>7</v>
      </c>
      <c r="D95" s="2" t="s">
        <v>6</v>
      </c>
      <c r="E95" s="21">
        <v>6</v>
      </c>
    </row>
    <row r="96" spans="1:5" x14ac:dyDescent="0.25">
      <c r="A96" s="22" t="s">
        <v>154</v>
      </c>
      <c r="B96" s="2" t="s">
        <v>210</v>
      </c>
      <c r="C96" s="2" t="s">
        <v>7</v>
      </c>
      <c r="D96" s="2" t="s">
        <v>8</v>
      </c>
      <c r="E96" s="21">
        <v>6</v>
      </c>
    </row>
    <row r="97" spans="1:5" x14ac:dyDescent="0.25">
      <c r="A97" s="22" t="s">
        <v>155</v>
      </c>
      <c r="B97" s="2" t="s">
        <v>210</v>
      </c>
      <c r="C97" s="2" t="s">
        <v>208</v>
      </c>
      <c r="D97" s="2" t="s">
        <v>6</v>
      </c>
      <c r="E97" s="21">
        <v>6</v>
      </c>
    </row>
    <row r="98" spans="1:5" x14ac:dyDescent="0.25">
      <c r="A98" s="22" t="s">
        <v>156</v>
      </c>
      <c r="B98" s="2" t="s">
        <v>210</v>
      </c>
      <c r="C98" s="2" t="s">
        <v>208</v>
      </c>
      <c r="D98" s="2" t="s">
        <v>8</v>
      </c>
      <c r="E98" s="21">
        <v>6</v>
      </c>
    </row>
    <row r="99" spans="1:5" x14ac:dyDescent="0.25">
      <c r="A99" s="22" t="s">
        <v>157</v>
      </c>
      <c r="B99" s="2" t="s">
        <v>211</v>
      </c>
      <c r="C99" s="2" t="s">
        <v>209</v>
      </c>
      <c r="D99" s="2" t="s">
        <v>57</v>
      </c>
      <c r="E99" s="21">
        <v>7</v>
      </c>
    </row>
    <row r="100" spans="1:5" x14ac:dyDescent="0.25">
      <c r="A100" s="22" t="s">
        <v>158</v>
      </c>
      <c r="B100" s="2" t="s">
        <v>211</v>
      </c>
      <c r="C100" s="2" t="s">
        <v>209</v>
      </c>
      <c r="D100" s="2" t="s">
        <v>6</v>
      </c>
      <c r="E100" s="21">
        <v>7</v>
      </c>
    </row>
    <row r="101" spans="1:5" x14ac:dyDescent="0.25">
      <c r="A101" s="22" t="s">
        <v>159</v>
      </c>
      <c r="B101" s="2" t="s">
        <v>211</v>
      </c>
      <c r="C101" s="2" t="s">
        <v>209</v>
      </c>
      <c r="D101" s="2" t="s">
        <v>8</v>
      </c>
      <c r="E101" s="21">
        <v>7</v>
      </c>
    </row>
    <row r="102" spans="1:5" x14ac:dyDescent="0.25">
      <c r="A102" s="22" t="s">
        <v>160</v>
      </c>
      <c r="B102" s="2" t="s">
        <v>211</v>
      </c>
      <c r="C102" s="2" t="s">
        <v>7</v>
      </c>
      <c r="D102" s="2" t="s">
        <v>57</v>
      </c>
      <c r="E102" s="21">
        <v>7</v>
      </c>
    </row>
    <row r="103" spans="1:5" x14ac:dyDescent="0.25">
      <c r="A103" s="22" t="s">
        <v>161</v>
      </c>
      <c r="B103" s="2" t="s">
        <v>211</v>
      </c>
      <c r="C103" s="2" t="str">
        <f>C102</f>
        <v>Negro</v>
      </c>
      <c r="D103" s="2" t="s">
        <v>6</v>
      </c>
      <c r="E103" s="21">
        <v>7</v>
      </c>
    </row>
    <row r="104" spans="1:5" x14ac:dyDescent="0.25">
      <c r="A104" s="22" t="s">
        <v>162</v>
      </c>
      <c r="B104" s="2" t="s">
        <v>211</v>
      </c>
      <c r="C104" s="2" t="str">
        <f>C102</f>
        <v>Negro</v>
      </c>
      <c r="D104" s="2" t="s">
        <v>8</v>
      </c>
      <c r="E104" s="21">
        <v>7</v>
      </c>
    </row>
    <row r="105" spans="1:5" x14ac:dyDescent="0.25">
      <c r="A105" s="22" t="s">
        <v>163</v>
      </c>
      <c r="B105" s="2" t="s">
        <v>211</v>
      </c>
      <c r="C105" s="2" t="s">
        <v>45</v>
      </c>
      <c r="D105" s="2" t="s">
        <v>57</v>
      </c>
      <c r="E105" s="21">
        <v>7</v>
      </c>
    </row>
    <row r="106" spans="1:5" x14ac:dyDescent="0.25">
      <c r="A106" s="22" t="s">
        <v>164</v>
      </c>
      <c r="B106" s="2" t="s">
        <v>211</v>
      </c>
      <c r="C106" s="2" t="s">
        <v>45</v>
      </c>
      <c r="D106" s="2" t="s">
        <v>6</v>
      </c>
      <c r="E106" s="21">
        <v>7</v>
      </c>
    </row>
    <row r="107" spans="1:5" x14ac:dyDescent="0.25">
      <c r="A107" s="22" t="s">
        <v>165</v>
      </c>
      <c r="B107" s="2" t="s">
        <v>211</v>
      </c>
      <c r="C107" s="2" t="s">
        <v>45</v>
      </c>
      <c r="D107" s="2" t="s">
        <v>8</v>
      </c>
      <c r="E107" s="21">
        <v>7</v>
      </c>
    </row>
    <row r="108" spans="1:5" x14ac:dyDescent="0.25">
      <c r="A108" s="22" t="s">
        <v>166</v>
      </c>
      <c r="B108" s="2" t="s">
        <v>211</v>
      </c>
      <c r="C108" s="2" t="s">
        <v>41</v>
      </c>
      <c r="D108" s="2" t="s">
        <v>57</v>
      </c>
      <c r="E108" s="21">
        <v>7</v>
      </c>
    </row>
    <row r="109" spans="1:5" x14ac:dyDescent="0.25">
      <c r="A109" s="22" t="s">
        <v>167</v>
      </c>
      <c r="B109" s="2" t="s">
        <v>211</v>
      </c>
      <c r="C109" s="2" t="str">
        <f>C108</f>
        <v>Blanco</v>
      </c>
      <c r="D109" s="2" t="s">
        <v>6</v>
      </c>
      <c r="E109" s="21">
        <v>7</v>
      </c>
    </row>
    <row r="110" spans="1:5" x14ac:dyDescent="0.25">
      <c r="A110" s="22" t="s">
        <v>168</v>
      </c>
      <c r="B110" s="2" t="s">
        <v>211</v>
      </c>
      <c r="C110" s="2" t="str">
        <f>C109</f>
        <v>Blanco</v>
      </c>
      <c r="D110" s="2" t="s">
        <v>8</v>
      </c>
      <c r="E110" s="21">
        <v>7</v>
      </c>
    </row>
    <row r="111" spans="1:5" x14ac:dyDescent="0.25">
      <c r="A111" s="22" t="s">
        <v>169</v>
      </c>
      <c r="B111" s="2" t="s">
        <v>211</v>
      </c>
      <c r="C111" s="2" t="s">
        <v>206</v>
      </c>
      <c r="D111" s="2" t="s">
        <v>57</v>
      </c>
      <c r="E111" s="21">
        <v>7</v>
      </c>
    </row>
    <row r="112" spans="1:5" x14ac:dyDescent="0.25">
      <c r="A112" s="22" t="s">
        <v>170</v>
      </c>
      <c r="B112" s="2" t="s">
        <v>211</v>
      </c>
      <c r="C112" s="2" t="s">
        <v>206</v>
      </c>
      <c r="D112" s="2" t="s">
        <v>6</v>
      </c>
      <c r="E112" s="21">
        <v>7</v>
      </c>
    </row>
    <row r="113" spans="1:5" x14ac:dyDescent="0.25">
      <c r="A113" s="22" t="s">
        <v>171</v>
      </c>
      <c r="B113" s="2" t="s">
        <v>211</v>
      </c>
      <c r="C113" s="2" t="s">
        <v>206</v>
      </c>
      <c r="D113" s="2" t="s">
        <v>8</v>
      </c>
      <c r="E113" s="21">
        <v>7</v>
      </c>
    </row>
    <row r="114" spans="1:5" x14ac:dyDescent="0.25">
      <c r="A114" s="22" t="s">
        <v>172</v>
      </c>
      <c r="B114" s="2" t="s">
        <v>214</v>
      </c>
      <c r="C114" s="2" t="s">
        <v>209</v>
      </c>
      <c r="D114" s="2" t="s">
        <v>57</v>
      </c>
      <c r="E114" s="21">
        <v>6</v>
      </c>
    </row>
    <row r="115" spans="1:5" x14ac:dyDescent="0.25">
      <c r="A115" s="22" t="s">
        <v>173</v>
      </c>
      <c r="B115" s="2" t="s">
        <v>214</v>
      </c>
      <c r="C115" s="2" t="s">
        <v>209</v>
      </c>
      <c r="D115" s="2" t="s">
        <v>6</v>
      </c>
      <c r="E115" s="21">
        <v>6</v>
      </c>
    </row>
    <row r="116" spans="1:5" x14ac:dyDescent="0.25">
      <c r="A116" s="22" t="s">
        <v>174</v>
      </c>
      <c r="B116" s="2" t="s">
        <v>214</v>
      </c>
      <c r="C116" s="2" t="s">
        <v>209</v>
      </c>
      <c r="D116" s="2" t="s">
        <v>8</v>
      </c>
      <c r="E116" s="21">
        <v>6</v>
      </c>
    </row>
    <row r="117" spans="1:5" x14ac:dyDescent="0.25">
      <c r="A117" s="22" t="s">
        <v>175</v>
      </c>
      <c r="B117" s="2" t="s">
        <v>214</v>
      </c>
      <c r="C117" s="2" t="s">
        <v>7</v>
      </c>
      <c r="D117" s="2" t="s">
        <v>57</v>
      </c>
      <c r="E117" s="21">
        <v>6</v>
      </c>
    </row>
    <row r="118" spans="1:5" x14ac:dyDescent="0.25">
      <c r="A118" s="22" t="s">
        <v>176</v>
      </c>
      <c r="B118" s="2" t="s">
        <v>214</v>
      </c>
      <c r="C118" s="2" t="s">
        <v>7</v>
      </c>
      <c r="D118" s="2" t="s">
        <v>6</v>
      </c>
      <c r="E118" s="21">
        <v>6</v>
      </c>
    </row>
    <row r="119" spans="1:5" x14ac:dyDescent="0.25">
      <c r="A119" s="22" t="s">
        <v>177</v>
      </c>
      <c r="B119" s="2" t="s">
        <v>214</v>
      </c>
      <c r="C119" s="2" t="s">
        <v>7</v>
      </c>
      <c r="D119" s="2" t="s">
        <v>8</v>
      </c>
      <c r="E119" s="21">
        <v>6</v>
      </c>
    </row>
    <row r="120" spans="1:5" x14ac:dyDescent="0.25">
      <c r="A120" s="22" t="s">
        <v>178</v>
      </c>
      <c r="B120" s="2" t="s">
        <v>214</v>
      </c>
      <c r="C120" s="2" t="s">
        <v>208</v>
      </c>
      <c r="D120" s="2" t="s">
        <v>57</v>
      </c>
      <c r="E120" s="21">
        <v>6</v>
      </c>
    </row>
    <row r="121" spans="1:5" x14ac:dyDescent="0.25">
      <c r="A121" s="22" t="s">
        <v>179</v>
      </c>
      <c r="B121" s="2" t="s">
        <v>214</v>
      </c>
      <c r="C121" s="2" t="s">
        <v>208</v>
      </c>
      <c r="D121" s="2" t="s">
        <v>6</v>
      </c>
      <c r="E121" s="21">
        <v>6</v>
      </c>
    </row>
    <row r="122" spans="1:5" x14ac:dyDescent="0.25">
      <c r="A122" s="22" t="s">
        <v>180</v>
      </c>
      <c r="B122" s="2" t="s">
        <v>214</v>
      </c>
      <c r="C122" s="2" t="s">
        <v>208</v>
      </c>
      <c r="D122" s="2" t="s">
        <v>8</v>
      </c>
      <c r="E122" s="21">
        <v>6</v>
      </c>
    </row>
    <row r="123" spans="1:5" x14ac:dyDescent="0.25">
      <c r="A123" s="22" t="s">
        <v>181</v>
      </c>
      <c r="B123" s="2" t="s">
        <v>214</v>
      </c>
      <c r="C123" s="2" t="s">
        <v>206</v>
      </c>
      <c r="D123" s="2" t="s">
        <v>57</v>
      </c>
      <c r="E123" s="21">
        <v>6</v>
      </c>
    </row>
    <row r="124" spans="1:5" x14ac:dyDescent="0.25">
      <c r="A124" s="22" t="s">
        <v>182</v>
      </c>
      <c r="B124" s="2" t="s">
        <v>214</v>
      </c>
      <c r="C124" s="2" t="s">
        <v>206</v>
      </c>
      <c r="D124" s="2" t="s">
        <v>6</v>
      </c>
      <c r="E124" s="21">
        <v>6</v>
      </c>
    </row>
    <row r="125" spans="1:5" x14ac:dyDescent="0.25">
      <c r="A125" s="22" t="s">
        <v>183</v>
      </c>
      <c r="B125" s="2" t="s">
        <v>214</v>
      </c>
      <c r="C125" s="2" t="s">
        <v>206</v>
      </c>
      <c r="D125" s="2" t="s">
        <v>8</v>
      </c>
      <c r="E125" s="21">
        <v>6</v>
      </c>
    </row>
    <row r="126" spans="1:5" x14ac:dyDescent="0.25">
      <c r="A126" s="22" t="s">
        <v>184</v>
      </c>
      <c r="B126" s="2" t="s">
        <v>215</v>
      </c>
      <c r="C126" s="2" t="s">
        <v>7</v>
      </c>
      <c r="D126" s="2" t="s">
        <v>57</v>
      </c>
      <c r="E126" s="21">
        <v>7</v>
      </c>
    </row>
    <row r="127" spans="1:5" x14ac:dyDescent="0.25">
      <c r="A127" s="22" t="s">
        <v>185</v>
      </c>
      <c r="B127" s="2" t="s">
        <v>215</v>
      </c>
      <c r="C127" s="2" t="s">
        <v>7</v>
      </c>
      <c r="D127" s="2" t="s">
        <v>6</v>
      </c>
      <c r="E127" s="21">
        <v>7</v>
      </c>
    </row>
    <row r="128" spans="1:5" x14ac:dyDescent="0.25">
      <c r="A128" s="22" t="s">
        <v>186</v>
      </c>
      <c r="B128" s="2" t="s">
        <v>215</v>
      </c>
      <c r="C128" s="2" t="s">
        <v>7</v>
      </c>
      <c r="D128" s="2" t="s">
        <v>8</v>
      </c>
      <c r="E128" s="21">
        <v>7</v>
      </c>
    </row>
    <row r="129" spans="1:5" x14ac:dyDescent="0.25">
      <c r="A129" s="22" t="s">
        <v>187</v>
      </c>
      <c r="B129" s="2" t="s">
        <v>215</v>
      </c>
      <c r="C129" s="2" t="s">
        <v>212</v>
      </c>
      <c r="D129" s="2" t="s">
        <v>57</v>
      </c>
      <c r="E129" s="21">
        <v>7</v>
      </c>
    </row>
    <row r="130" spans="1:5" x14ac:dyDescent="0.25">
      <c r="A130" s="22" t="s">
        <v>189</v>
      </c>
      <c r="B130" s="2" t="s">
        <v>215</v>
      </c>
      <c r="C130" s="2" t="s">
        <v>212</v>
      </c>
      <c r="D130" s="2" t="s">
        <v>6</v>
      </c>
      <c r="E130" s="21">
        <v>7</v>
      </c>
    </row>
    <row r="131" spans="1:5" x14ac:dyDescent="0.25">
      <c r="A131" s="22" t="s">
        <v>188</v>
      </c>
      <c r="B131" s="2" t="s">
        <v>215</v>
      </c>
      <c r="C131" s="2" t="s">
        <v>212</v>
      </c>
      <c r="D131" s="2" t="s">
        <v>8</v>
      </c>
      <c r="E131" s="21">
        <v>7</v>
      </c>
    </row>
    <row r="132" spans="1:5" x14ac:dyDescent="0.25">
      <c r="A132" s="22" t="s">
        <v>190</v>
      </c>
      <c r="B132" s="2" t="s">
        <v>216</v>
      </c>
      <c r="C132" s="2" t="s">
        <v>206</v>
      </c>
      <c r="D132" s="2" t="s">
        <v>57</v>
      </c>
      <c r="E132" s="21">
        <v>7</v>
      </c>
    </row>
    <row r="133" spans="1:5" x14ac:dyDescent="0.25">
      <c r="A133" s="22" t="s">
        <v>191</v>
      </c>
      <c r="B133" s="2" t="s">
        <v>216</v>
      </c>
      <c r="C133" s="2" t="s">
        <v>41</v>
      </c>
      <c r="D133" s="2" t="s">
        <v>57</v>
      </c>
      <c r="E133" s="21">
        <v>7</v>
      </c>
    </row>
    <row r="134" spans="1:5" x14ac:dyDescent="0.25">
      <c r="A134" s="22" t="s">
        <v>192</v>
      </c>
      <c r="B134" s="2" t="s">
        <v>216</v>
      </c>
      <c r="C134" s="2" t="s">
        <v>212</v>
      </c>
      <c r="D134" s="2" t="s">
        <v>57</v>
      </c>
      <c r="E134" s="21">
        <v>7</v>
      </c>
    </row>
    <row r="135" spans="1:5" x14ac:dyDescent="0.25">
      <c r="A135" s="22" t="s">
        <v>193</v>
      </c>
      <c r="B135" s="2" t="s">
        <v>216</v>
      </c>
      <c r="C135" s="2" t="s">
        <v>213</v>
      </c>
      <c r="D135" s="2" t="s">
        <v>57</v>
      </c>
      <c r="E135" s="21">
        <v>7</v>
      </c>
    </row>
    <row r="136" spans="1:5" x14ac:dyDescent="0.25">
      <c r="A136" s="22" t="s">
        <v>194</v>
      </c>
      <c r="B136" s="2" t="s">
        <v>217</v>
      </c>
      <c r="C136" s="2" t="s">
        <v>209</v>
      </c>
      <c r="D136" s="2" t="s">
        <v>57</v>
      </c>
      <c r="E136" s="21">
        <v>7</v>
      </c>
    </row>
    <row r="137" spans="1:5" x14ac:dyDescent="0.25">
      <c r="A137" s="22" t="s">
        <v>195</v>
      </c>
      <c r="B137" s="2" t="s">
        <v>217</v>
      </c>
      <c r="C137" s="2" t="s">
        <v>209</v>
      </c>
      <c r="D137" s="2" t="s">
        <v>6</v>
      </c>
      <c r="E137" s="21">
        <v>7</v>
      </c>
    </row>
    <row r="138" spans="1:5" x14ac:dyDescent="0.25">
      <c r="A138" s="22" t="s">
        <v>196</v>
      </c>
      <c r="B138" s="2" t="s">
        <v>217</v>
      </c>
      <c r="C138" s="2" t="s">
        <v>209</v>
      </c>
      <c r="D138" s="2" t="s">
        <v>8</v>
      </c>
      <c r="E138" s="21">
        <v>7</v>
      </c>
    </row>
    <row r="139" spans="1:5" x14ac:dyDescent="0.25">
      <c r="A139" s="22" t="s">
        <v>197</v>
      </c>
      <c r="B139" s="2" t="s">
        <v>217</v>
      </c>
      <c r="C139" s="2" t="s">
        <v>212</v>
      </c>
      <c r="D139" s="2" t="s">
        <v>57</v>
      </c>
      <c r="E139" s="21">
        <v>7</v>
      </c>
    </row>
    <row r="140" spans="1:5" x14ac:dyDescent="0.25">
      <c r="A140" s="22" t="s">
        <v>198</v>
      </c>
      <c r="B140" s="2" t="s">
        <v>217</v>
      </c>
      <c r="C140" s="2" t="s">
        <v>212</v>
      </c>
      <c r="D140" s="2" t="s">
        <v>6</v>
      </c>
      <c r="E140" s="21">
        <v>7</v>
      </c>
    </row>
    <row r="141" spans="1:5" x14ac:dyDescent="0.25">
      <c r="A141" s="22" t="s">
        <v>199</v>
      </c>
      <c r="B141" s="2" t="s">
        <v>217</v>
      </c>
      <c r="C141" s="2" t="s">
        <v>212</v>
      </c>
      <c r="D141" s="2" t="s">
        <v>8</v>
      </c>
      <c r="E141" s="21">
        <v>7</v>
      </c>
    </row>
    <row r="142" spans="1:5" x14ac:dyDescent="0.25">
      <c r="A142" s="22" t="s">
        <v>200</v>
      </c>
      <c r="B142" s="2" t="s">
        <v>217</v>
      </c>
      <c r="C142" s="2" t="s">
        <v>206</v>
      </c>
      <c r="D142" s="2" t="s">
        <v>57</v>
      </c>
      <c r="E142" s="21">
        <v>7</v>
      </c>
    </row>
    <row r="143" spans="1:5" x14ac:dyDescent="0.25">
      <c r="A143" s="22" t="s">
        <v>201</v>
      </c>
      <c r="B143" s="2" t="s">
        <v>217</v>
      </c>
      <c r="C143" s="2" t="s">
        <v>206</v>
      </c>
      <c r="D143" s="2" t="s">
        <v>6</v>
      </c>
      <c r="E143" s="21">
        <v>7</v>
      </c>
    </row>
    <row r="144" spans="1:5" x14ac:dyDescent="0.25">
      <c r="A144" s="22" t="s">
        <v>202</v>
      </c>
      <c r="B144" s="2" t="s">
        <v>217</v>
      </c>
      <c r="C144" s="2" t="s">
        <v>206</v>
      </c>
      <c r="D144" s="2" t="s">
        <v>8</v>
      </c>
      <c r="E144" s="21">
        <v>7</v>
      </c>
    </row>
    <row r="145" spans="1:5" x14ac:dyDescent="0.25">
      <c r="A145" s="22"/>
      <c r="B145" s="2"/>
      <c r="C145" s="2"/>
      <c r="D145" s="2"/>
      <c r="E145" s="21"/>
    </row>
    <row r="146" spans="1:5" x14ac:dyDescent="0.25">
      <c r="A146" s="22"/>
      <c r="B146" s="2"/>
      <c r="C146" s="2"/>
      <c r="D146" s="2"/>
      <c r="E146" s="21"/>
    </row>
    <row r="147" spans="1:5" x14ac:dyDescent="0.25">
      <c r="A147" s="22"/>
      <c r="B147" s="2"/>
      <c r="C147" s="2"/>
      <c r="D147" s="2"/>
      <c r="E147" s="21"/>
    </row>
    <row r="148" spans="1:5" x14ac:dyDescent="0.25">
      <c r="A148" s="22"/>
      <c r="B148" s="2"/>
      <c r="C148" s="2"/>
      <c r="D148" s="2"/>
      <c r="E148" s="21"/>
    </row>
    <row r="149" spans="1:5" x14ac:dyDescent="0.25">
      <c r="A149" s="22"/>
      <c r="B149" s="2"/>
      <c r="C149" s="2"/>
      <c r="D149" s="2"/>
      <c r="E149" s="21"/>
    </row>
    <row r="150" spans="1:5" x14ac:dyDescent="0.25">
      <c r="A150" s="22"/>
      <c r="B150" s="2"/>
      <c r="C150" s="2"/>
      <c r="D150" s="2"/>
      <c r="E150" s="21"/>
    </row>
    <row r="151" spans="1:5" x14ac:dyDescent="0.25">
      <c r="A151" s="22"/>
      <c r="B151" s="2"/>
      <c r="C151" s="2"/>
      <c r="D151" s="2"/>
      <c r="E151" s="21"/>
    </row>
    <row r="152" spans="1:5" x14ac:dyDescent="0.25">
      <c r="A152" s="22"/>
      <c r="B152" s="2"/>
      <c r="C152" s="2"/>
      <c r="D152" s="2"/>
      <c r="E152" s="21"/>
    </row>
    <row r="153" spans="1:5" x14ac:dyDescent="0.25">
      <c r="A153" s="22"/>
      <c r="B153" s="2"/>
      <c r="C153" s="2"/>
      <c r="D153" s="2"/>
      <c r="E153" s="21"/>
    </row>
    <row r="154" spans="1:5" x14ac:dyDescent="0.25">
      <c r="A154" s="22"/>
      <c r="B154" s="2"/>
      <c r="C154" s="2"/>
      <c r="D154" s="2"/>
      <c r="E154" s="21"/>
    </row>
    <row r="155" spans="1:5" x14ac:dyDescent="0.25">
      <c r="A155" s="22"/>
      <c r="B155" s="2"/>
      <c r="C155" s="2"/>
      <c r="D155" s="2"/>
      <c r="E155" s="21"/>
    </row>
    <row r="156" spans="1:5" x14ac:dyDescent="0.25">
      <c r="A156" s="22"/>
      <c r="B156" s="2"/>
      <c r="C156" s="2"/>
      <c r="D156" s="2"/>
      <c r="E156" s="21"/>
    </row>
    <row r="157" spans="1:5" x14ac:dyDescent="0.25">
      <c r="A157" s="22"/>
      <c r="B157" s="2"/>
      <c r="C157" s="2"/>
      <c r="D157" s="2"/>
      <c r="E157" s="21"/>
    </row>
    <row r="158" spans="1:5" x14ac:dyDescent="0.25">
      <c r="A158" s="22"/>
      <c r="B158" s="2"/>
      <c r="C158" s="2"/>
      <c r="D158" s="2"/>
      <c r="E158" s="21"/>
    </row>
    <row r="159" spans="1:5" x14ac:dyDescent="0.25">
      <c r="A159" s="22"/>
      <c r="B159" s="2"/>
      <c r="C159" s="2"/>
      <c r="D159" s="2"/>
      <c r="E159" s="21"/>
    </row>
    <row r="160" spans="1:5" x14ac:dyDescent="0.25">
      <c r="A160" s="22"/>
      <c r="B160" s="2"/>
      <c r="C160" s="2"/>
      <c r="D160" s="2"/>
      <c r="E160" s="21"/>
    </row>
    <row r="161" spans="1:5" x14ac:dyDescent="0.25">
      <c r="A161" s="22"/>
      <c r="B161" s="2"/>
      <c r="C161" s="2"/>
      <c r="D161" s="2"/>
      <c r="E161" s="21"/>
    </row>
    <row r="162" spans="1:5" x14ac:dyDescent="0.25">
      <c r="A162" s="22"/>
      <c r="B162" s="2"/>
      <c r="C162" s="2"/>
      <c r="D162" s="2"/>
      <c r="E162" s="21"/>
    </row>
    <row r="163" spans="1:5" x14ac:dyDescent="0.25">
      <c r="A163" s="22"/>
      <c r="B163" s="2"/>
      <c r="C163" s="2"/>
      <c r="D163" s="2"/>
      <c r="E163" s="21"/>
    </row>
    <row r="164" spans="1:5" x14ac:dyDescent="0.25">
      <c r="A164" s="22"/>
      <c r="B164" s="2"/>
      <c r="C164" s="2"/>
      <c r="D164" s="2"/>
      <c r="E164" s="21"/>
    </row>
    <row r="165" spans="1:5" x14ac:dyDescent="0.25">
      <c r="A165" s="22"/>
      <c r="B165" s="2"/>
      <c r="C165" s="2"/>
      <c r="D165" s="2"/>
      <c r="E165" s="21"/>
    </row>
    <row r="166" spans="1:5" x14ac:dyDescent="0.25">
      <c r="A166" s="22"/>
      <c r="B166" s="2"/>
      <c r="C166" s="2"/>
      <c r="D166" s="2"/>
      <c r="E166" s="21"/>
    </row>
    <row r="167" spans="1:5" x14ac:dyDescent="0.25">
      <c r="A167" s="22"/>
      <c r="B167" s="2"/>
      <c r="C167" s="2"/>
      <c r="D167" s="2"/>
      <c r="E167" s="21"/>
    </row>
    <row r="168" spans="1:5" x14ac:dyDescent="0.25">
      <c r="A168" s="22"/>
      <c r="B168" s="2"/>
      <c r="C168" s="2"/>
      <c r="D168" s="2"/>
      <c r="E168" s="21"/>
    </row>
    <row r="169" spans="1:5" x14ac:dyDescent="0.25">
      <c r="A169" s="22"/>
      <c r="B169" s="2"/>
      <c r="C169" s="2"/>
      <c r="D169" s="2"/>
      <c r="E169" s="21"/>
    </row>
    <row r="170" spans="1:5" x14ac:dyDescent="0.25">
      <c r="A170" s="22"/>
      <c r="B170" s="2"/>
      <c r="C170" s="2"/>
      <c r="D170" s="2"/>
      <c r="E170" s="21"/>
    </row>
    <row r="171" spans="1:5" x14ac:dyDescent="0.25">
      <c r="A171" s="22"/>
      <c r="B171" s="2"/>
      <c r="C171" s="2"/>
      <c r="D171" s="2"/>
      <c r="E171" s="21"/>
    </row>
    <row r="172" spans="1:5" x14ac:dyDescent="0.25">
      <c r="A172" s="22"/>
      <c r="B172" s="2"/>
      <c r="C172" s="2"/>
      <c r="D172" s="2"/>
      <c r="E172" s="21"/>
    </row>
    <row r="173" spans="1:5" x14ac:dyDescent="0.25">
      <c r="A173" s="22"/>
      <c r="B173" s="2"/>
      <c r="C173" s="2"/>
      <c r="D173" s="2"/>
      <c r="E173" s="21"/>
    </row>
    <row r="174" spans="1:5" x14ac:dyDescent="0.25">
      <c r="A174" s="22"/>
      <c r="B174" s="2"/>
      <c r="C174" s="2"/>
      <c r="D174" s="2"/>
      <c r="E174" s="21"/>
    </row>
    <row r="175" spans="1:5" x14ac:dyDescent="0.25">
      <c r="A175" s="22"/>
      <c r="B175" s="2"/>
      <c r="C175" s="2"/>
      <c r="D175" s="2"/>
      <c r="E175" s="21"/>
    </row>
    <row r="176" spans="1:5" x14ac:dyDescent="0.25">
      <c r="A176" s="22"/>
      <c r="B176" s="2"/>
      <c r="C176" s="2"/>
      <c r="D176" s="2"/>
      <c r="E176" s="21"/>
    </row>
    <row r="177" spans="1:5" x14ac:dyDescent="0.25">
      <c r="A177" s="22"/>
      <c r="B177" s="2"/>
      <c r="C177" s="2"/>
      <c r="D177" s="2"/>
      <c r="E177" s="21"/>
    </row>
    <row r="178" spans="1:5" x14ac:dyDescent="0.25">
      <c r="A178" s="22"/>
      <c r="B178" s="2"/>
      <c r="C178" s="2"/>
      <c r="D178" s="2"/>
      <c r="E178" s="21"/>
    </row>
    <row r="179" spans="1:5" x14ac:dyDescent="0.25">
      <c r="A179" s="22"/>
      <c r="B179" s="2"/>
      <c r="C179" s="2"/>
      <c r="D179" s="2"/>
      <c r="E179" s="21"/>
    </row>
    <row r="180" spans="1:5" x14ac:dyDescent="0.25">
      <c r="A180" s="22"/>
      <c r="B180" s="2"/>
      <c r="C180" s="2"/>
      <c r="D180" s="2"/>
      <c r="E180" s="21"/>
    </row>
    <row r="181" spans="1:5" x14ac:dyDescent="0.25">
      <c r="A181" s="22"/>
      <c r="B181" s="2"/>
      <c r="C181" s="2"/>
      <c r="D181" s="2"/>
      <c r="E181" s="21"/>
    </row>
    <row r="182" spans="1:5" x14ac:dyDescent="0.25">
      <c r="A182" s="22"/>
      <c r="B182" s="2"/>
      <c r="C182" s="2"/>
      <c r="D182" s="2"/>
      <c r="E182" s="21"/>
    </row>
    <row r="183" spans="1:5" x14ac:dyDescent="0.25">
      <c r="A183" s="22"/>
      <c r="B183" s="2"/>
      <c r="C183" s="2"/>
      <c r="D183" s="2"/>
      <c r="E183" s="21"/>
    </row>
    <row r="184" spans="1:5" x14ac:dyDescent="0.25">
      <c r="A184" s="22"/>
      <c r="B184" s="2"/>
      <c r="C184" s="2"/>
      <c r="D184" s="2"/>
      <c r="E184" s="21"/>
    </row>
    <row r="185" spans="1:5" x14ac:dyDescent="0.25">
      <c r="A185" s="22"/>
      <c r="B185" s="2"/>
      <c r="C185" s="2"/>
      <c r="D185" s="2"/>
      <c r="E185" s="21"/>
    </row>
    <row r="186" spans="1:5" x14ac:dyDescent="0.25">
      <c r="A186" s="22"/>
      <c r="B186" s="2"/>
      <c r="C186" s="2"/>
      <c r="D186" s="2"/>
      <c r="E186" s="21"/>
    </row>
    <row r="187" spans="1:5" x14ac:dyDescent="0.25">
      <c r="A187" s="22"/>
      <c r="B187" s="2"/>
      <c r="C187" s="2"/>
      <c r="D187" s="2"/>
      <c r="E187" s="21"/>
    </row>
    <row r="188" spans="1:5" x14ac:dyDescent="0.25">
      <c r="A188" s="22"/>
      <c r="B188" s="2"/>
      <c r="C188" s="2"/>
      <c r="D188" s="2"/>
      <c r="E188" s="21"/>
    </row>
    <row r="189" spans="1:5" x14ac:dyDescent="0.25">
      <c r="A189" s="22"/>
      <c r="B189" s="2"/>
      <c r="C189" s="2"/>
      <c r="D189" s="2"/>
      <c r="E189" s="21"/>
    </row>
    <row r="190" spans="1:5" x14ac:dyDescent="0.25">
      <c r="A190" s="22"/>
      <c r="B190" s="2"/>
      <c r="C190" s="2"/>
      <c r="D190" s="2"/>
      <c r="E190" s="21"/>
    </row>
    <row r="191" spans="1:5" x14ac:dyDescent="0.25">
      <c r="A191" s="22"/>
      <c r="B191" s="2"/>
      <c r="C191" s="2"/>
      <c r="D191" s="2"/>
      <c r="E191" s="21"/>
    </row>
    <row r="192" spans="1:5" x14ac:dyDescent="0.25">
      <c r="A192" s="22"/>
      <c r="B192" s="2"/>
      <c r="C192" s="2"/>
      <c r="D192" s="2"/>
      <c r="E192" s="21"/>
    </row>
    <row r="193" spans="1:5" x14ac:dyDescent="0.25">
      <c r="A193" s="22"/>
      <c r="B193" s="2"/>
      <c r="C193" s="2"/>
      <c r="D193" s="2"/>
      <c r="E193" s="21"/>
    </row>
    <row r="194" spans="1:5" x14ac:dyDescent="0.25">
      <c r="A194" s="22"/>
      <c r="B194" s="2"/>
      <c r="C194" s="2"/>
      <c r="D194" s="2"/>
      <c r="E194" s="21"/>
    </row>
    <row r="195" spans="1:5" x14ac:dyDescent="0.25">
      <c r="A195" s="22"/>
      <c r="B195" s="2"/>
      <c r="C195" s="2"/>
      <c r="D195" s="2"/>
      <c r="E195" s="21"/>
    </row>
    <row r="196" spans="1:5" x14ac:dyDescent="0.25">
      <c r="A196" s="22"/>
      <c r="B196" s="2"/>
      <c r="C196" s="2"/>
      <c r="D196" s="2"/>
      <c r="E196" s="21"/>
    </row>
    <row r="197" spans="1:5" x14ac:dyDescent="0.25">
      <c r="A197" s="22"/>
      <c r="B197" s="2"/>
      <c r="C197" s="2"/>
      <c r="D197" s="2"/>
      <c r="E197" s="21"/>
    </row>
    <row r="198" spans="1:5" x14ac:dyDescent="0.25">
      <c r="A198" s="22"/>
      <c r="B198" s="2"/>
      <c r="C198" s="2"/>
      <c r="D198" s="2"/>
      <c r="E198" s="21"/>
    </row>
    <row r="199" spans="1:5" x14ac:dyDescent="0.25">
      <c r="A199" s="22"/>
      <c r="B199" s="2"/>
      <c r="C199" s="2"/>
      <c r="D199" s="2"/>
      <c r="E199" s="21"/>
    </row>
    <row r="200" spans="1:5" x14ac:dyDescent="0.25">
      <c r="A200" s="22"/>
      <c r="B200" s="2"/>
      <c r="C200" s="2"/>
      <c r="D200" s="2"/>
      <c r="E200" s="21"/>
    </row>
    <row r="201" spans="1:5" x14ac:dyDescent="0.25">
      <c r="A201" s="22"/>
      <c r="B201" s="2"/>
      <c r="C201" s="2"/>
      <c r="D201" s="2"/>
      <c r="E201" s="21"/>
    </row>
    <row r="202" spans="1:5" x14ac:dyDescent="0.25">
      <c r="A202" s="22"/>
      <c r="B202" s="2"/>
      <c r="C202" s="2"/>
      <c r="D202" s="2"/>
      <c r="E202" s="21"/>
    </row>
    <row r="203" spans="1:5" x14ac:dyDescent="0.25">
      <c r="A203" s="22"/>
      <c r="B203" s="2"/>
      <c r="C203" s="2"/>
      <c r="D203" s="2"/>
      <c r="E203" s="21"/>
    </row>
    <row r="204" spans="1:5" x14ac:dyDescent="0.25">
      <c r="A204" s="22"/>
      <c r="B204" s="2"/>
      <c r="C204" s="2"/>
      <c r="D204" s="2"/>
      <c r="E204" s="21"/>
    </row>
    <row r="205" spans="1:5" x14ac:dyDescent="0.25">
      <c r="A205" s="22"/>
      <c r="B205" s="2"/>
      <c r="C205" s="2"/>
      <c r="D205" s="2"/>
      <c r="E205" s="21"/>
    </row>
    <row r="206" spans="1:5" x14ac:dyDescent="0.25">
      <c r="A206" s="22"/>
      <c r="B206" s="2"/>
      <c r="C206" s="2"/>
      <c r="D206" s="2"/>
      <c r="E206" s="21"/>
    </row>
    <row r="207" spans="1:5" x14ac:dyDescent="0.25">
      <c r="A207" s="22"/>
      <c r="B207" s="2"/>
      <c r="C207" s="2"/>
      <c r="D207" s="2"/>
      <c r="E207" s="21"/>
    </row>
    <row r="208" spans="1:5" x14ac:dyDescent="0.25">
      <c r="A208" s="22"/>
      <c r="B208" s="2"/>
      <c r="C208" s="2"/>
      <c r="D208" s="2"/>
      <c r="E208" s="21"/>
    </row>
    <row r="209" spans="1:5" x14ac:dyDescent="0.25">
      <c r="A209" s="22"/>
      <c r="B209" s="2"/>
      <c r="C209" s="2"/>
      <c r="D209" s="2"/>
      <c r="E209" s="21"/>
    </row>
    <row r="210" spans="1:5" x14ac:dyDescent="0.25">
      <c r="A210" s="22"/>
      <c r="B210" s="2"/>
      <c r="C210" s="2"/>
      <c r="D210" s="2"/>
      <c r="E210" s="21"/>
    </row>
    <row r="211" spans="1:5" x14ac:dyDescent="0.25">
      <c r="A211" s="22"/>
      <c r="B211" s="2"/>
      <c r="C211" s="2"/>
      <c r="D211" s="2"/>
      <c r="E211" s="21"/>
    </row>
    <row r="212" spans="1:5" x14ac:dyDescent="0.25">
      <c r="A212" s="22"/>
      <c r="B212" s="2"/>
      <c r="C212" s="2"/>
      <c r="D212" s="2"/>
      <c r="E212" s="21"/>
    </row>
    <row r="213" spans="1:5" x14ac:dyDescent="0.25">
      <c r="A213" s="22"/>
      <c r="B213" s="2"/>
      <c r="C213" s="2"/>
      <c r="D213" s="2"/>
      <c r="E213" s="21"/>
    </row>
    <row r="214" spans="1:5" x14ac:dyDescent="0.25">
      <c r="A214" s="22"/>
      <c r="B214" s="2"/>
      <c r="C214" s="2"/>
      <c r="D214" s="2"/>
      <c r="E214" s="21"/>
    </row>
    <row r="215" spans="1:5" x14ac:dyDescent="0.25">
      <c r="A215" s="22"/>
      <c r="B215" s="2"/>
      <c r="C215" s="2"/>
      <c r="D215" s="2"/>
      <c r="E215" s="21"/>
    </row>
    <row r="216" spans="1:5" x14ac:dyDescent="0.25">
      <c r="A216" s="22"/>
      <c r="B216" s="2"/>
      <c r="C216" s="2"/>
      <c r="D216" s="2"/>
      <c r="E216" s="21"/>
    </row>
    <row r="217" spans="1:5" x14ac:dyDescent="0.25">
      <c r="A217" s="22"/>
      <c r="B217" s="2"/>
      <c r="C217" s="2"/>
      <c r="D217" s="2"/>
      <c r="E217" s="21"/>
    </row>
    <row r="218" spans="1:5" x14ac:dyDescent="0.25">
      <c r="A218" s="22"/>
      <c r="B218" s="2"/>
      <c r="C218" s="2"/>
      <c r="D218" s="2"/>
      <c r="E218" s="21"/>
    </row>
    <row r="219" spans="1:5" x14ac:dyDescent="0.25">
      <c r="A219" s="22"/>
      <c r="B219" s="2"/>
      <c r="C219" s="2"/>
      <c r="D219" s="2"/>
      <c r="E219" s="21"/>
    </row>
    <row r="220" spans="1:5" x14ac:dyDescent="0.25">
      <c r="A220" s="22"/>
      <c r="B220" s="2"/>
      <c r="C220" s="2"/>
      <c r="D220" s="2"/>
      <c r="E220" s="21"/>
    </row>
    <row r="221" spans="1:5" x14ac:dyDescent="0.25">
      <c r="A221" s="22"/>
      <c r="B221" s="2"/>
      <c r="C221" s="2"/>
      <c r="D221" s="2"/>
      <c r="E221" s="21"/>
    </row>
    <row r="222" spans="1:5" x14ac:dyDescent="0.25">
      <c r="A222" s="22"/>
      <c r="B222" s="2"/>
      <c r="C222" s="2"/>
      <c r="D222" s="2"/>
      <c r="E222" s="21"/>
    </row>
    <row r="223" spans="1:5" x14ac:dyDescent="0.25">
      <c r="A223" s="22"/>
      <c r="B223" s="2"/>
      <c r="C223" s="2"/>
      <c r="D223" s="2"/>
      <c r="E223" s="21"/>
    </row>
    <row r="224" spans="1:5" x14ac:dyDescent="0.25">
      <c r="A224" s="22"/>
      <c r="B224" s="2"/>
      <c r="C224" s="2"/>
      <c r="D224" s="2"/>
      <c r="E224" s="21"/>
    </row>
    <row r="225" spans="1:5" x14ac:dyDescent="0.25">
      <c r="A225" s="22"/>
      <c r="B225" s="2"/>
      <c r="C225" s="2"/>
      <c r="D225" s="2"/>
      <c r="E225" s="21"/>
    </row>
    <row r="226" spans="1:5" x14ac:dyDescent="0.25">
      <c r="A226" s="22"/>
      <c r="B226" s="2"/>
      <c r="C226" s="2"/>
      <c r="D226" s="2"/>
      <c r="E226" s="21"/>
    </row>
    <row r="227" spans="1:5" x14ac:dyDescent="0.25">
      <c r="A227" s="22"/>
      <c r="B227" s="2"/>
      <c r="C227" s="2"/>
      <c r="D227" s="2"/>
      <c r="E227" s="21"/>
    </row>
    <row r="228" spans="1:5" x14ac:dyDescent="0.25">
      <c r="A228" s="22"/>
      <c r="B228" s="2"/>
      <c r="C228" s="2"/>
      <c r="D228" s="2"/>
      <c r="E228" s="21"/>
    </row>
    <row r="229" spans="1:5" x14ac:dyDescent="0.25">
      <c r="A229" s="22"/>
      <c r="B229" s="2"/>
      <c r="C229" s="2"/>
      <c r="D229" s="2"/>
      <c r="E229" s="21"/>
    </row>
    <row r="230" spans="1:5" x14ac:dyDescent="0.25">
      <c r="A230" s="22"/>
      <c r="B230" s="2"/>
      <c r="C230" s="2"/>
      <c r="D230" s="2"/>
      <c r="E230" s="21"/>
    </row>
    <row r="231" spans="1:5" x14ac:dyDescent="0.25">
      <c r="A231" s="22"/>
      <c r="B231" s="2"/>
      <c r="C231" s="2"/>
      <c r="D231" s="2"/>
      <c r="E231" s="21"/>
    </row>
    <row r="232" spans="1:5" x14ac:dyDescent="0.25">
      <c r="A232" s="22"/>
      <c r="B232" s="2"/>
      <c r="C232" s="2"/>
      <c r="D232" s="2"/>
      <c r="E232" s="21"/>
    </row>
    <row r="233" spans="1:5" x14ac:dyDescent="0.25">
      <c r="A233" s="22"/>
      <c r="B233" s="2"/>
      <c r="C233" s="2"/>
      <c r="D233" s="2"/>
      <c r="E233" s="21"/>
    </row>
    <row r="234" spans="1:5" x14ac:dyDescent="0.25">
      <c r="A234" s="22"/>
      <c r="B234" s="2"/>
      <c r="C234" s="2"/>
      <c r="D234" s="2"/>
      <c r="E234" s="21"/>
    </row>
    <row r="235" spans="1:5" x14ac:dyDescent="0.25">
      <c r="A235" s="22"/>
      <c r="B235" s="2"/>
      <c r="C235" s="2"/>
      <c r="D235" s="2"/>
      <c r="E235" s="21"/>
    </row>
    <row r="236" spans="1:5" x14ac:dyDescent="0.25">
      <c r="A236" s="22"/>
      <c r="B236" s="2"/>
      <c r="C236" s="2"/>
      <c r="D236" s="2"/>
      <c r="E236" s="21"/>
    </row>
    <row r="237" spans="1:5" x14ac:dyDescent="0.25">
      <c r="A237" s="22"/>
      <c r="B237" s="2"/>
      <c r="C237" s="2"/>
      <c r="D237" s="2"/>
      <c r="E237" s="21"/>
    </row>
    <row r="238" spans="1:5" x14ac:dyDescent="0.25">
      <c r="A238" s="22"/>
      <c r="B238" s="2"/>
      <c r="C238" s="2"/>
      <c r="D238" s="2"/>
      <c r="E238" s="21"/>
    </row>
    <row r="239" spans="1:5" x14ac:dyDescent="0.25">
      <c r="A239" s="22"/>
      <c r="B239" s="2"/>
      <c r="C239" s="2"/>
      <c r="D239" s="2"/>
      <c r="E239" s="21"/>
    </row>
    <row r="240" spans="1:5" x14ac:dyDescent="0.25">
      <c r="A240" s="22"/>
      <c r="B240" s="2"/>
      <c r="C240" s="2"/>
      <c r="D240" s="2"/>
      <c r="E240" s="21"/>
    </row>
    <row r="241" spans="1:5" x14ac:dyDescent="0.25">
      <c r="A241" s="22"/>
      <c r="B241" s="2"/>
      <c r="C241" s="2"/>
      <c r="D241" s="2"/>
      <c r="E241" s="21"/>
    </row>
    <row r="242" spans="1:5" x14ac:dyDescent="0.25">
      <c r="A242" s="22"/>
      <c r="B242" s="2"/>
      <c r="C242" s="2"/>
      <c r="D242" s="2"/>
      <c r="E242" s="21"/>
    </row>
    <row r="243" spans="1:5" x14ac:dyDescent="0.25">
      <c r="A243" s="22"/>
      <c r="B243" s="2"/>
      <c r="C243" s="2"/>
      <c r="D243" s="2"/>
      <c r="E243" s="21"/>
    </row>
    <row r="244" spans="1:5" x14ac:dyDescent="0.25">
      <c r="A244" s="22"/>
      <c r="B244" s="2"/>
      <c r="C244" s="2"/>
      <c r="D244" s="2"/>
      <c r="E244" s="21"/>
    </row>
    <row r="245" spans="1:5" x14ac:dyDescent="0.25">
      <c r="A245" s="22"/>
      <c r="B245" s="2"/>
      <c r="C245" s="2"/>
      <c r="D245" s="2"/>
      <c r="E245" s="21"/>
    </row>
    <row r="246" spans="1:5" x14ac:dyDescent="0.25">
      <c r="A246" s="22"/>
      <c r="B246" s="2"/>
      <c r="C246" s="2"/>
      <c r="D246" s="2"/>
      <c r="E246" s="21"/>
    </row>
    <row r="247" spans="1:5" x14ac:dyDescent="0.25">
      <c r="A247" s="22"/>
      <c r="B247" s="2"/>
      <c r="C247" s="2"/>
      <c r="D247" s="2"/>
      <c r="E247" s="21"/>
    </row>
    <row r="248" spans="1:5" x14ac:dyDescent="0.25">
      <c r="A248" s="22"/>
      <c r="B248" s="2"/>
      <c r="C248" s="2"/>
      <c r="D248" s="2"/>
      <c r="E248" s="21"/>
    </row>
    <row r="249" spans="1:5" x14ac:dyDescent="0.25">
      <c r="A249" s="22"/>
      <c r="B249" s="2"/>
      <c r="C249" s="2"/>
      <c r="D249" s="2"/>
      <c r="E249" s="21"/>
    </row>
    <row r="250" spans="1:5" x14ac:dyDescent="0.25">
      <c r="A250" s="22"/>
      <c r="B250" s="2"/>
      <c r="C250" s="2"/>
      <c r="D250" s="2"/>
      <c r="E250" s="21"/>
    </row>
    <row r="251" spans="1:5" x14ac:dyDescent="0.25">
      <c r="A251" s="22"/>
      <c r="B251" s="2"/>
      <c r="C251" s="2"/>
      <c r="D251" s="2"/>
      <c r="E251" s="21"/>
    </row>
    <row r="252" spans="1:5" x14ac:dyDescent="0.25">
      <c r="A252" s="22"/>
      <c r="B252" s="2"/>
      <c r="C252" s="2"/>
      <c r="D252" s="2"/>
      <c r="E252" s="21"/>
    </row>
    <row r="253" spans="1:5" x14ac:dyDescent="0.25">
      <c r="A253" s="22"/>
      <c r="B253" s="2"/>
      <c r="C253" s="2"/>
      <c r="D253" s="2"/>
      <c r="E253" s="21"/>
    </row>
    <row r="254" spans="1:5" x14ac:dyDescent="0.25">
      <c r="A254" s="22"/>
      <c r="B254" s="2"/>
      <c r="C254" s="2"/>
      <c r="D254" s="2"/>
      <c r="E254" s="21"/>
    </row>
    <row r="255" spans="1:5" x14ac:dyDescent="0.25">
      <c r="A255" s="22"/>
      <c r="B255" s="2"/>
      <c r="C255" s="2"/>
      <c r="D255" s="2"/>
      <c r="E255" s="21"/>
    </row>
    <row r="256" spans="1:5" x14ac:dyDescent="0.25">
      <c r="A256" s="22"/>
      <c r="B256" s="2"/>
      <c r="C256" s="2"/>
      <c r="D256" s="2"/>
      <c r="E256" s="21"/>
    </row>
    <row r="257" spans="1:5" x14ac:dyDescent="0.25">
      <c r="A257" s="22"/>
      <c r="B257" s="2"/>
      <c r="C257" s="2"/>
      <c r="D257" s="2"/>
      <c r="E257" s="21"/>
    </row>
    <row r="258" spans="1:5" x14ac:dyDescent="0.25">
      <c r="A258" s="22"/>
      <c r="B258" s="2"/>
      <c r="C258" s="2"/>
      <c r="D258" s="2"/>
      <c r="E258" s="21"/>
    </row>
    <row r="259" spans="1:5" x14ac:dyDescent="0.25">
      <c r="A259" s="22"/>
      <c r="B259" s="2"/>
      <c r="C259" s="2"/>
      <c r="D259" s="2"/>
      <c r="E259" s="21"/>
    </row>
    <row r="260" spans="1:5" x14ac:dyDescent="0.25">
      <c r="A260" s="22"/>
      <c r="B260" s="2"/>
      <c r="C260" s="2"/>
      <c r="D260" s="2"/>
      <c r="E260" s="21"/>
    </row>
    <row r="261" spans="1:5" x14ac:dyDescent="0.25">
      <c r="A261" s="22"/>
      <c r="B261" s="2"/>
      <c r="C261" s="2"/>
      <c r="D261" s="2"/>
      <c r="E261" s="21"/>
    </row>
    <row r="262" spans="1:5" x14ac:dyDescent="0.25">
      <c r="A262" s="22"/>
      <c r="B262" s="2"/>
      <c r="C262" s="2"/>
      <c r="D262" s="2"/>
      <c r="E262" s="21"/>
    </row>
    <row r="263" spans="1:5" x14ac:dyDescent="0.25">
      <c r="A263" s="22"/>
      <c r="B263" s="2"/>
      <c r="C263" s="2"/>
      <c r="D263" s="2"/>
      <c r="E263" s="21"/>
    </row>
    <row r="264" spans="1:5" x14ac:dyDescent="0.25">
      <c r="A264" s="22"/>
      <c r="B264" s="2"/>
      <c r="C264" s="2"/>
      <c r="D264" s="2"/>
      <c r="E264" s="21"/>
    </row>
    <row r="265" spans="1:5" x14ac:dyDescent="0.25">
      <c r="A265" s="22"/>
      <c r="B265" s="2"/>
      <c r="C265" s="2"/>
      <c r="D265" s="2"/>
      <c r="E265" s="21"/>
    </row>
    <row r="266" spans="1:5" x14ac:dyDescent="0.25">
      <c r="A266" s="22"/>
      <c r="B266" s="2"/>
      <c r="C266" s="2"/>
      <c r="D266" s="2"/>
      <c r="E266" s="21"/>
    </row>
    <row r="267" spans="1:5" x14ac:dyDescent="0.25">
      <c r="A267" s="22"/>
      <c r="B267" s="2"/>
      <c r="C267" s="2"/>
      <c r="D267" s="2"/>
      <c r="E267" s="21"/>
    </row>
    <row r="268" spans="1:5" x14ac:dyDescent="0.25">
      <c r="A268" s="22"/>
      <c r="B268" s="2"/>
      <c r="C268" s="2"/>
      <c r="D268" s="2"/>
      <c r="E268" s="21"/>
    </row>
    <row r="269" spans="1:5" x14ac:dyDescent="0.25">
      <c r="A269" s="22"/>
      <c r="B269" s="2"/>
      <c r="C269" s="2"/>
      <c r="D269" s="2"/>
      <c r="E269" s="21"/>
    </row>
    <row r="270" spans="1:5" x14ac:dyDescent="0.25">
      <c r="A270" s="22"/>
      <c r="B270" s="2"/>
      <c r="C270" s="2"/>
      <c r="D270" s="2"/>
      <c r="E270" s="21"/>
    </row>
    <row r="271" spans="1:5" x14ac:dyDescent="0.25">
      <c r="A271" s="22"/>
      <c r="B271" s="2"/>
      <c r="C271" s="2"/>
      <c r="D271" s="2"/>
      <c r="E271" s="21"/>
    </row>
    <row r="272" spans="1:5" x14ac:dyDescent="0.25">
      <c r="A272" s="22"/>
      <c r="B272" s="2"/>
      <c r="C272" s="2"/>
      <c r="D272" s="2"/>
      <c r="E272" s="21"/>
    </row>
    <row r="273" spans="1:5" x14ac:dyDescent="0.25">
      <c r="A273" s="22"/>
      <c r="B273" s="2"/>
      <c r="C273" s="2"/>
      <c r="D273" s="2"/>
      <c r="E273" s="21"/>
    </row>
    <row r="274" spans="1:5" x14ac:dyDescent="0.25">
      <c r="A274" s="22"/>
      <c r="B274" s="2"/>
      <c r="C274" s="2"/>
      <c r="D274" s="2"/>
      <c r="E274" s="21"/>
    </row>
    <row r="275" spans="1:5" x14ac:dyDescent="0.25">
      <c r="A275" s="22"/>
      <c r="B275" s="2"/>
      <c r="C275" s="2"/>
      <c r="D275" s="2"/>
      <c r="E275" s="21"/>
    </row>
    <row r="276" spans="1:5" x14ac:dyDescent="0.25">
      <c r="A276" s="22"/>
      <c r="B276" s="2"/>
      <c r="C276" s="2"/>
      <c r="D276" s="2"/>
      <c r="E276" s="21"/>
    </row>
    <row r="277" spans="1:5" x14ac:dyDescent="0.25">
      <c r="A277" s="22"/>
      <c r="B277" s="2"/>
      <c r="C277" s="2"/>
      <c r="D277" s="2"/>
      <c r="E277" s="21"/>
    </row>
    <row r="278" spans="1:5" x14ac:dyDescent="0.25">
      <c r="A278" s="22"/>
      <c r="B278" s="2"/>
      <c r="C278" s="2"/>
      <c r="D278" s="2"/>
      <c r="E278" s="21"/>
    </row>
    <row r="279" spans="1:5" x14ac:dyDescent="0.25">
      <c r="A279" s="22"/>
      <c r="B279" s="2"/>
      <c r="C279" s="2"/>
      <c r="D279" s="2"/>
      <c r="E279" s="21"/>
    </row>
    <row r="280" spans="1:5" x14ac:dyDescent="0.25">
      <c r="A280" s="22"/>
      <c r="B280" s="2"/>
      <c r="C280" s="2"/>
      <c r="D280" s="2"/>
      <c r="E280" s="21"/>
    </row>
    <row r="281" spans="1:5" x14ac:dyDescent="0.25">
      <c r="A281" s="22"/>
      <c r="B281" s="2"/>
      <c r="C281" s="2"/>
      <c r="D281" s="2"/>
      <c r="E281" s="21"/>
    </row>
    <row r="282" spans="1:5" x14ac:dyDescent="0.25">
      <c r="A282" s="22"/>
      <c r="B282" s="2"/>
      <c r="C282" s="2"/>
      <c r="D282" s="2"/>
      <c r="E282" s="21"/>
    </row>
    <row r="283" spans="1:5" x14ac:dyDescent="0.25">
      <c r="A283" s="23"/>
    </row>
    <row r="284" spans="1:5" x14ac:dyDescent="0.25">
      <c r="A284" s="23"/>
    </row>
    <row r="285" spans="1:5" x14ac:dyDescent="0.25">
      <c r="A285" s="24"/>
    </row>
    <row r="286" spans="1:5" x14ac:dyDescent="0.25">
      <c r="A286" s="7"/>
    </row>
    <row r="287" spans="1:5" x14ac:dyDescent="0.25">
      <c r="A287" s="7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N27"/>
  <sheetViews>
    <sheetView showGridLines="0" tabSelected="1" zoomScale="106" zoomScaleNormal="106" workbookViewId="0">
      <selection activeCell="I9" sqref="I9"/>
    </sheetView>
  </sheetViews>
  <sheetFormatPr baseColWidth="10" defaultColWidth="8.7109375" defaultRowHeight="15" x14ac:dyDescent="0.25"/>
  <cols>
    <col min="1" max="1" width="20.85546875" customWidth="1"/>
    <col min="2" max="2" width="20" customWidth="1"/>
    <col min="3" max="3" width="15.7109375" customWidth="1"/>
    <col min="4" max="4" width="10" customWidth="1"/>
    <col min="5" max="5" width="12" customWidth="1"/>
    <col min="6" max="6" width="8" customWidth="1"/>
    <col min="7" max="7" width="18.7109375" customWidth="1"/>
  </cols>
  <sheetData>
    <row r="1" spans="1:7" ht="20.25" x14ac:dyDescent="0.3">
      <c r="A1" s="25" t="s">
        <v>9</v>
      </c>
      <c r="B1" s="25"/>
      <c r="C1" s="25"/>
      <c r="D1" s="25"/>
      <c r="E1" s="25"/>
      <c r="F1" s="25"/>
      <c r="G1" s="25"/>
    </row>
    <row r="3" spans="1:7" x14ac:dyDescent="0.25">
      <c r="A3" s="6" t="s">
        <v>10</v>
      </c>
      <c r="B3" s="5"/>
      <c r="D3" s="6" t="s">
        <v>11</v>
      </c>
      <c r="E3" s="5"/>
    </row>
    <row r="5" spans="1:7" x14ac:dyDescent="0.25">
      <c r="A5" s="1" t="s">
        <v>1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12</v>
      </c>
      <c r="G5" s="1" t="s">
        <v>13</v>
      </c>
    </row>
    <row r="6" spans="1:7" x14ac:dyDescent="0.25">
      <c r="A6" s="8"/>
      <c r="B6" s="2" t="str">
        <f>IF(A6="","",IFERROR(INDEX(INVENTARIO!$B:$B,MATCH(A6,INVENTARIO!$A:$A,0)),"No encontrado"))</f>
        <v/>
      </c>
      <c r="C6" s="2" t="str">
        <f>IF(A6="","",IFERROR(INDEX(INVENTARIO!$C:$C,MATCH(A6,INVENTARIO!$A:$A,0)),""))</f>
        <v/>
      </c>
      <c r="D6" s="2" t="str">
        <f>IF(A6="","",IFERROR(INDEX(INVENTARIO!$D:$D,MATCH(A6,INVENTARIO!$A:$A,0)),""))</f>
        <v/>
      </c>
      <c r="E6" s="9" t="str">
        <f>IF(A6="","",IFERROR(INDEX(INVENTARIO!$E:$E,MATCH(A6,INVENTARIO!$A:$A,0)),""))</f>
        <v/>
      </c>
      <c r="F6" s="10"/>
      <c r="G6" s="9" t="str">
        <f t="shared" ref="G6:G20" si="0">IF(A6="","",E6*F6)</f>
        <v/>
      </c>
    </row>
    <row r="7" spans="1:7" x14ac:dyDescent="0.25">
      <c r="A7" s="8"/>
      <c r="B7" s="2" t="str">
        <f>IF(A7="","",IFERROR(INDEX(INVENTARIO!$B:$B,MATCH(A7,INVENTARIO!$A:$A,0)),"No encontrado"))</f>
        <v/>
      </c>
      <c r="C7" s="2" t="str">
        <f>IF(A7="","",IFERROR(INDEX(INVENTARIO!$C:$C,MATCH(A7,INVENTARIO!$A:$A,0)),""))</f>
        <v/>
      </c>
      <c r="D7" s="2" t="str">
        <f>IF(A7="","",IFERROR(INDEX(INVENTARIO!$D:$D,MATCH(A7,INVENTARIO!$A:$A,0)),""))</f>
        <v/>
      </c>
      <c r="E7" s="9" t="str">
        <f>IF(A7="","",IFERROR(INDEX(INVENTARIO!$F:$F,MATCH(A7,INVENTARIO!$A:$A,0)),""))</f>
        <v/>
      </c>
      <c r="F7" s="10"/>
      <c r="G7" s="9" t="str">
        <f t="shared" si="0"/>
        <v/>
      </c>
    </row>
    <row r="8" spans="1:7" x14ac:dyDescent="0.25">
      <c r="A8" s="8"/>
      <c r="B8" s="2" t="str">
        <f>IF(A8="","",IFERROR(INDEX(INVENTARIO!$B:$B,MATCH(A8,INVENTARIO!$A:$A,0)),"No encontrado"))</f>
        <v/>
      </c>
      <c r="C8" s="2" t="str">
        <f>IF(A8="","",IFERROR(INDEX(INVENTARIO!$C:$C,MATCH(A8,INVENTARIO!$A:$A,0)),""))</f>
        <v/>
      </c>
      <c r="D8" s="2" t="str">
        <f>IF(A8="","",IFERROR(INDEX(INVENTARIO!$D:$D,MATCH(A8,INVENTARIO!$A:$A,0)),""))</f>
        <v/>
      </c>
      <c r="E8" s="9" t="str">
        <f>IF(A8="","",IFERROR(INDEX(INVENTARIO!$F:$F,MATCH(A8,INVENTARIO!$A:$A,0)),""))</f>
        <v/>
      </c>
      <c r="F8" s="10"/>
      <c r="G8" s="9" t="str">
        <f t="shared" si="0"/>
        <v/>
      </c>
    </row>
    <row r="9" spans="1:7" x14ac:dyDescent="0.25">
      <c r="A9" s="8"/>
      <c r="B9" s="2" t="str">
        <f>IF(A9="","",IFERROR(INDEX(INVENTARIO!$B:$B,MATCH(A9,INVENTARIO!$A:$A,0)),"No encontrado"))</f>
        <v/>
      </c>
      <c r="C9" s="2" t="str">
        <f>IF(A9="","",IFERROR(INDEX(INVENTARIO!$C:$C,MATCH(A9,INVENTARIO!$A:$A,0)),""))</f>
        <v/>
      </c>
      <c r="D9" s="2" t="str">
        <f>IF(A9="","",IFERROR(INDEX(INVENTARIO!$D:$D,MATCH(A9,INVENTARIO!$A:$A,0)),""))</f>
        <v/>
      </c>
      <c r="E9" s="9" t="str">
        <f>IF(A9="","",IFERROR(INDEX(INVENTARIO!$F:$F,MATCH(A9,INVENTARIO!$A:$A,0)),""))</f>
        <v/>
      </c>
      <c r="F9" s="10"/>
      <c r="G9" s="9" t="str">
        <f t="shared" si="0"/>
        <v/>
      </c>
    </row>
    <row r="10" spans="1:7" x14ac:dyDescent="0.25">
      <c r="A10" s="8"/>
      <c r="B10" s="2" t="str">
        <f>IF(A10="","",IFERROR(INDEX(INVENTARIO!$B:$B,MATCH(A10,INVENTARIO!$A:$A,0)),"No encontrado"))</f>
        <v/>
      </c>
      <c r="C10" s="2" t="str">
        <f>IF(A10="","",IFERROR(INDEX(INVENTARIO!$C:$C,MATCH(A10,INVENTARIO!$A:$A,0)),""))</f>
        <v/>
      </c>
      <c r="D10" s="2" t="str">
        <f>IF(A10="","",IFERROR(INDEX(INVENTARIO!$D:$D,MATCH(A10,INVENTARIO!$A:$A,0)),""))</f>
        <v/>
      </c>
      <c r="E10" s="9" t="str">
        <f>IF(A10="","",IFERROR(INDEX(INVENTARIO!$F:$F,MATCH(A10,INVENTARIO!$A:$A,0)),""))</f>
        <v/>
      </c>
      <c r="F10" s="10"/>
      <c r="G10" s="9" t="str">
        <f t="shared" si="0"/>
        <v/>
      </c>
    </row>
    <row r="11" spans="1:7" x14ac:dyDescent="0.25">
      <c r="A11" s="8"/>
      <c r="B11" s="2" t="str">
        <f>IF(A11="","",IFERROR(INDEX(INVENTARIO!$B:$B,MATCH(A11,INVENTARIO!$A:$A,0)),"No encontrado"))</f>
        <v/>
      </c>
      <c r="C11" s="2" t="str">
        <f>IF(A11="","",IFERROR(INDEX(INVENTARIO!$C:$C,MATCH(A11,INVENTARIO!$A:$A,0)),""))</f>
        <v/>
      </c>
      <c r="D11" s="2" t="str">
        <f>IF(A11="","",IFERROR(INDEX(INVENTARIO!$D:$D,MATCH(A11,INVENTARIO!$A:$A,0)),""))</f>
        <v/>
      </c>
      <c r="E11" s="9" t="str">
        <f>IF(A11="","",IFERROR(INDEX(INVENTARIO!$F:$F,MATCH(A11,INVENTARIO!$A:$A,0)),""))</f>
        <v/>
      </c>
      <c r="F11" s="10"/>
      <c r="G11" s="9" t="str">
        <f t="shared" si="0"/>
        <v/>
      </c>
    </row>
    <row r="12" spans="1:7" x14ac:dyDescent="0.25">
      <c r="A12" s="8"/>
      <c r="B12" s="2" t="str">
        <f>IF(A12="","",IFERROR(INDEX(INVENTARIO!$B:$B,MATCH(A12,INVENTARIO!$A:$A,0)),"No encontrado"))</f>
        <v/>
      </c>
      <c r="C12" s="2" t="str">
        <f>IF(A12="","",IFERROR(INDEX(INVENTARIO!$C:$C,MATCH(A12,INVENTARIO!$A:$A,0)),""))</f>
        <v/>
      </c>
      <c r="D12" s="2" t="str">
        <f>IF(A12="","",IFERROR(INDEX(INVENTARIO!$D:$D,MATCH(A12,INVENTARIO!$A:$A,0)),""))</f>
        <v/>
      </c>
      <c r="E12" s="9" t="str">
        <f>IF(A12="","",IFERROR(INDEX(INVENTARIO!$F:$F,MATCH(A12,INVENTARIO!$A:$A,0)),""))</f>
        <v/>
      </c>
      <c r="F12" s="10"/>
      <c r="G12" s="9" t="str">
        <f t="shared" si="0"/>
        <v/>
      </c>
    </row>
    <row r="13" spans="1:7" x14ac:dyDescent="0.25">
      <c r="A13" s="8"/>
      <c r="B13" s="2" t="str">
        <f>IF(A13="","",IFERROR(INDEX(INVENTARIO!$B:$B,MATCH(A13,INVENTARIO!$A:$A,0)),"No encontrado"))</f>
        <v/>
      </c>
      <c r="C13" s="2" t="str">
        <f>IF(A13="","",IFERROR(INDEX(INVENTARIO!$C:$C,MATCH(A13,INVENTARIO!$A:$A,0)),""))</f>
        <v/>
      </c>
      <c r="D13" s="2" t="str">
        <f>IF(A13="","",IFERROR(INDEX(INVENTARIO!$D:$D,MATCH(A13,INVENTARIO!$A:$A,0)),""))</f>
        <v/>
      </c>
      <c r="E13" s="9" t="str">
        <f>IF(A13="","",IFERROR(INDEX(INVENTARIO!$F:$F,MATCH(A13,INVENTARIO!$A:$A,0)),""))</f>
        <v/>
      </c>
      <c r="F13" s="10"/>
      <c r="G13" s="9" t="str">
        <f t="shared" si="0"/>
        <v/>
      </c>
    </row>
    <row r="14" spans="1:7" x14ac:dyDescent="0.25">
      <c r="A14" s="8"/>
      <c r="B14" s="2" t="str">
        <f>IF(A14="","",IFERROR(INDEX(INVENTARIO!$B:$B,MATCH(A14,INVENTARIO!$A:$A,0)),"No encontrado"))</f>
        <v/>
      </c>
      <c r="C14" s="2" t="str">
        <f>IF(A14="","",IFERROR(INDEX(INVENTARIO!$C:$C,MATCH(A14,INVENTARIO!$A:$A,0)),""))</f>
        <v/>
      </c>
      <c r="D14" s="2" t="str">
        <f>IF(A14="","",IFERROR(INDEX(INVENTARIO!$D:$D,MATCH(A14,INVENTARIO!$A:$A,0)),""))</f>
        <v/>
      </c>
      <c r="E14" s="9" t="str">
        <f>IF(A14="","",IFERROR(INDEX(INVENTARIO!$F:$F,MATCH(A14,INVENTARIO!$A:$A,0)),""))</f>
        <v/>
      </c>
      <c r="F14" s="10"/>
      <c r="G14" s="9" t="str">
        <f t="shared" si="0"/>
        <v/>
      </c>
    </row>
    <row r="15" spans="1:7" x14ac:dyDescent="0.25">
      <c r="A15" s="8"/>
      <c r="B15" s="2" t="str">
        <f>IF(A15="","",IFERROR(INDEX(INVENTARIO!$B:$B,MATCH(A15,INVENTARIO!$A:$A,0)),"No encontrado"))</f>
        <v/>
      </c>
      <c r="C15" s="2" t="str">
        <f>IF(A15="","",IFERROR(INDEX(INVENTARIO!$C:$C,MATCH(A15,INVENTARIO!$A:$A,0)),""))</f>
        <v/>
      </c>
      <c r="D15" s="2" t="str">
        <f>IF(A15="","",IFERROR(INDEX(INVENTARIO!$D:$D,MATCH(A15,INVENTARIO!$A:$A,0)),""))</f>
        <v/>
      </c>
      <c r="E15" s="9" t="str">
        <f>IF(A15="","",IFERROR(INDEX(INVENTARIO!$F:$F,MATCH(A15,INVENTARIO!$A:$A,0)),""))</f>
        <v/>
      </c>
      <c r="F15" s="10"/>
      <c r="G15" s="9" t="str">
        <f t="shared" si="0"/>
        <v/>
      </c>
    </row>
    <row r="16" spans="1:7" x14ac:dyDescent="0.25">
      <c r="A16" s="8"/>
      <c r="B16" s="2" t="str">
        <f>IF(A16="","",IFERROR(INDEX(INVENTARIO!$B:$B,MATCH(A16,INVENTARIO!$A:$A,0)),"No encontrado"))</f>
        <v/>
      </c>
      <c r="C16" s="2" t="str">
        <f>IF(A16="","",IFERROR(INDEX(INVENTARIO!$C:$C,MATCH(A16,INVENTARIO!$A:$A,0)),""))</f>
        <v/>
      </c>
      <c r="D16" s="2" t="str">
        <f>IF(A16="","",IFERROR(INDEX(INVENTARIO!$D:$D,MATCH(A16,INVENTARIO!$A:$A,0)),""))</f>
        <v/>
      </c>
      <c r="E16" s="9" t="str">
        <f>IF(A16="","",IFERROR(INDEX(INVENTARIO!$F:$F,MATCH(A16,INVENTARIO!$A:$A,0)),""))</f>
        <v/>
      </c>
      <c r="F16" s="10"/>
      <c r="G16" s="9" t="str">
        <f t="shared" si="0"/>
        <v/>
      </c>
    </row>
    <row r="17" spans="1:14" x14ac:dyDescent="0.25">
      <c r="A17" s="8"/>
      <c r="B17" s="2" t="str">
        <f>IF(A17="","",IFERROR(INDEX(INVENTARIO!$B:$B,MATCH(A17,INVENTARIO!$A:$A,0)),"No encontrado"))</f>
        <v/>
      </c>
      <c r="C17" s="2" t="str">
        <f>IF(A17="","",IFERROR(INDEX(INVENTARIO!$C:$C,MATCH(A17,INVENTARIO!$A:$A,0)),""))</f>
        <v/>
      </c>
      <c r="D17" s="2" t="str">
        <f>IF(A17="","",IFERROR(INDEX(INVENTARIO!$D:$D,MATCH(A17,INVENTARIO!$A:$A,0)),""))</f>
        <v/>
      </c>
      <c r="E17" s="9" t="str">
        <f>IF(A17="","",IFERROR(INDEX(INVENTARIO!$F:$F,MATCH(A17,INVENTARIO!$A:$A,0)),""))</f>
        <v/>
      </c>
      <c r="F17" s="10"/>
      <c r="G17" s="9" t="str">
        <f t="shared" si="0"/>
        <v/>
      </c>
    </row>
    <row r="18" spans="1:14" x14ac:dyDescent="0.25">
      <c r="A18" s="8"/>
      <c r="B18" s="2" t="str">
        <f>IF(A18="","",IFERROR(INDEX(INVENTARIO!$B:$B,MATCH(A18,INVENTARIO!$A:$A,0)),"No encontrado"))</f>
        <v/>
      </c>
      <c r="C18" s="2" t="str">
        <f>IF(A18="","",IFERROR(INDEX(INVENTARIO!$C:$C,MATCH(A18,INVENTARIO!$A:$A,0)),""))</f>
        <v/>
      </c>
      <c r="D18" s="2" t="str">
        <f>IF(A18="","",IFERROR(INDEX(INVENTARIO!$D:$D,MATCH(A18,INVENTARIO!$A:$A,0)),""))</f>
        <v/>
      </c>
      <c r="E18" s="9" t="str">
        <f>IF(A18="","",IFERROR(INDEX(INVENTARIO!$F:$F,MATCH(A18,INVENTARIO!$A:$A,0)),""))</f>
        <v/>
      </c>
      <c r="F18" s="10"/>
      <c r="G18" s="9" t="str">
        <f t="shared" si="0"/>
        <v/>
      </c>
    </row>
    <row r="19" spans="1:14" x14ac:dyDescent="0.25">
      <c r="A19" s="8"/>
      <c r="B19" s="2" t="str">
        <f>IF(A19="","",IFERROR(INDEX(INVENTARIO!$B:$B,MATCH(A19,INVENTARIO!$A:$A,0)),"No encontrado"))</f>
        <v/>
      </c>
      <c r="C19" s="2" t="str">
        <f>IF(A19="","",IFERROR(INDEX(INVENTARIO!$C:$C,MATCH(A19,INVENTARIO!$A:$A,0)),""))</f>
        <v/>
      </c>
      <c r="D19" s="2" t="str">
        <f>IF(A19="","",IFERROR(INDEX(INVENTARIO!$D:$D,MATCH(A19,INVENTARIO!$A:$A,0)),""))</f>
        <v/>
      </c>
      <c r="E19" s="9" t="str">
        <f>IF(A19="","",IFERROR(INDEX(INVENTARIO!$F:$F,MATCH(A19,INVENTARIO!$A:$A,0)),""))</f>
        <v/>
      </c>
      <c r="F19" s="10"/>
      <c r="G19" s="9" t="str">
        <f t="shared" si="0"/>
        <v/>
      </c>
    </row>
    <row r="20" spans="1:14" x14ac:dyDescent="0.25">
      <c r="A20" s="8"/>
      <c r="B20" s="2" t="str">
        <f>IF(A20="","",IFERROR(INDEX(INVENTARIO!$B:$B,MATCH(A20,INVENTARIO!$A:$A,0)),"No encontrado"))</f>
        <v/>
      </c>
      <c r="C20" s="2" t="str">
        <f>IF(A20="","",IFERROR(INDEX(INVENTARIO!$C:$C,MATCH(A20,INVENTARIO!$A:$A,0)),""))</f>
        <v/>
      </c>
      <c r="D20" s="2" t="str">
        <f>IF(A20="","",IFERROR(INDEX(INVENTARIO!$D:$D,MATCH(A20,INVENTARIO!$A:$A,0)),""))</f>
        <v/>
      </c>
      <c r="E20" s="9" t="str">
        <f>IF(A20="","",IFERROR(INDEX(INVENTARIO!$F:$F,MATCH(A20,INVENTARIO!$A:$A,0)),""))</f>
        <v/>
      </c>
      <c r="F20" s="10"/>
      <c r="G20" s="9" t="str">
        <f t="shared" si="0"/>
        <v/>
      </c>
    </row>
    <row r="22" spans="1:14" ht="15.75" x14ac:dyDescent="0.25">
      <c r="A22" s="11" t="s">
        <v>14</v>
      </c>
      <c r="G22" s="12">
        <f>SUM(G6:G20)</f>
        <v>0</v>
      </c>
    </row>
    <row r="23" spans="1:14" x14ac:dyDescent="0.25">
      <c r="A23" s="6" t="s">
        <v>15</v>
      </c>
      <c r="B23" s="13">
        <v>10</v>
      </c>
    </row>
    <row r="24" spans="1:14" x14ac:dyDescent="0.25">
      <c r="A24" s="6" t="s">
        <v>16</v>
      </c>
      <c r="G24" s="14">
        <f>G22*B23/100</f>
        <v>0</v>
      </c>
    </row>
    <row r="25" spans="1:14" ht="15.75" x14ac:dyDescent="0.25">
      <c r="A25" s="15" t="s">
        <v>17</v>
      </c>
      <c r="B25" s="16"/>
      <c r="C25" s="16"/>
      <c r="D25" s="16"/>
      <c r="E25" s="16"/>
      <c r="F25" s="16"/>
      <c r="G25" s="17">
        <f>G22-G24</f>
        <v>0</v>
      </c>
    </row>
    <row r="27" spans="1:14" x14ac:dyDescent="0.25">
      <c r="A27" s="26" t="s">
        <v>18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</row>
  </sheetData>
  <mergeCells count="3">
    <mergeCell ref="A1:G1"/>
    <mergeCell ref="A27:G27"/>
    <mergeCell ref="H27:N27"/>
  </mergeCells>
  <pageMargins left="0.75" right="0.75" top="1" bottom="1" header="0.511811023622047" footer="0.511811023622047"/>
  <pageSetup paperSize="9" orientation="portrait" horizontalDpi="300" verticalDpi="3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9" r:id="rId4" name="Button 5">
              <controlPr defaultSize="0" print="0" autoFill="0" autoPict="0" macro="[0]!Hoja2.GuardarVenta">
                <anchor moveWithCells="1">
                  <from>
                    <xdr:col>6</xdr:col>
                    <xdr:colOff>161925</xdr:colOff>
                    <xdr:row>28</xdr:row>
                    <xdr:rowOff>85725</xdr:rowOff>
                  </from>
                  <to>
                    <xdr:col>6</xdr:col>
                    <xdr:colOff>1219200</xdr:colOff>
                    <xdr:row>29</xdr:row>
                    <xdr:rowOff>133350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Código inválido" error="Ese código no existe en INVENTARIO. Elige uno de la lista." xr:uid="{00000000-0002-0000-0100-000000000000}">
          <x14:formula1>
            <xm:f>INVENTARIO!$A$4:$A$282</xm:f>
          </x14:formula1>
          <x14:formula2>
            <xm:f>0</xm:f>
          </x14:formula2>
          <xm:sqref>A6:A20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I241"/>
  <sheetViews>
    <sheetView showGridLines="0" zoomScaleNormal="100" workbookViewId="0">
      <selection activeCell="B5" sqref="B5"/>
    </sheetView>
  </sheetViews>
  <sheetFormatPr baseColWidth="10" defaultColWidth="8.7109375" defaultRowHeight="15" x14ac:dyDescent="0.25"/>
  <cols>
    <col min="1" max="1" width="12" customWidth="1"/>
    <col min="2" max="2" width="24" customWidth="1"/>
    <col min="3" max="3" width="18" customWidth="1"/>
    <col min="4" max="4" width="12" customWidth="1"/>
    <col min="5" max="5" width="10" customWidth="1"/>
    <col min="6" max="6" width="8" customWidth="1"/>
    <col min="7" max="8" width="12" customWidth="1"/>
    <col min="9" max="9" width="16" customWidth="1"/>
  </cols>
  <sheetData>
    <row r="1" spans="1:9" ht="20.25" x14ac:dyDescent="0.3">
      <c r="A1" s="25" t="s">
        <v>19</v>
      </c>
      <c r="B1" s="25"/>
      <c r="C1" s="25"/>
      <c r="D1" s="25"/>
      <c r="E1" s="25"/>
      <c r="F1" s="25"/>
      <c r="G1" s="25"/>
      <c r="H1" s="25"/>
      <c r="I1" s="25"/>
    </row>
    <row r="2" spans="1:9" x14ac:dyDescent="0.25">
      <c r="A2" s="26" t="s">
        <v>20</v>
      </c>
      <c r="B2" s="26"/>
      <c r="C2" s="26"/>
      <c r="D2" s="26"/>
      <c r="E2" s="26"/>
      <c r="F2" s="26"/>
      <c r="G2" s="26"/>
      <c r="H2" s="26"/>
      <c r="I2" s="26"/>
    </row>
    <row r="4" spans="1:9" x14ac:dyDescent="0.25">
      <c r="A4" s="1" t="s">
        <v>21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12</v>
      </c>
      <c r="G4" s="1" t="s">
        <v>5</v>
      </c>
      <c r="H4" s="1" t="s">
        <v>13</v>
      </c>
      <c r="I4" s="1" t="s">
        <v>22</v>
      </c>
    </row>
    <row r="5" spans="1:9" x14ac:dyDescent="0.25">
      <c r="A5" s="18"/>
      <c r="B5" s="5"/>
      <c r="C5" s="2"/>
      <c r="D5" s="2"/>
      <c r="E5" s="2"/>
      <c r="F5" s="10"/>
      <c r="G5" s="9"/>
      <c r="H5" s="19"/>
      <c r="I5" s="5"/>
    </row>
    <row r="6" spans="1:9" x14ac:dyDescent="0.25">
      <c r="A6" s="18"/>
      <c r="B6" s="5"/>
      <c r="C6" s="2" t="str">
        <f>IF(B6="","",IFERROR(INDEX(INVENTARIO!$B:$B,MATCH(B6,INVENTARIO!$A:$A,0)),"No encontrado"))</f>
        <v/>
      </c>
      <c r="D6" s="2" t="str">
        <f>IF(B6="","",IFERROR(INDEX(INVENTARIO!$C:$C,MATCH(B6,INVENTARIO!$A:$A,0)),""))</f>
        <v/>
      </c>
      <c r="E6" s="2" t="str">
        <f>IF(B6="","",IFERROR(INDEX(INVENTARIO!$D:$D,MATCH(B6,INVENTARIO!$A:$A,0)),""))</f>
        <v/>
      </c>
      <c r="F6" s="10"/>
      <c r="G6" s="9" t="str">
        <f>IF(B6="","",IFERROR(INDEX(INVENTARIO!$F:$F,MATCH(B6,INVENTARIO!$A:$A,0)),""))</f>
        <v/>
      </c>
      <c r="H6" s="19" t="str">
        <f t="shared" ref="H6:H36" si="0">IF(B6="","",G6*F6)</f>
        <v/>
      </c>
      <c r="I6" s="5"/>
    </row>
    <row r="7" spans="1:9" x14ac:dyDescent="0.25">
      <c r="A7" s="18"/>
      <c r="B7" s="5"/>
      <c r="C7" s="2" t="str">
        <f>IF(B7="","",IFERROR(INDEX(INVENTARIO!$B:$B,MATCH(B7,INVENTARIO!$A:$A,0)),"No encontrado"))</f>
        <v/>
      </c>
      <c r="D7" s="2" t="str">
        <f>IF(B7="","",IFERROR(INDEX(INVENTARIO!$C:$C,MATCH(B7,INVENTARIO!$A:$A,0)),""))</f>
        <v/>
      </c>
      <c r="E7" s="2" t="str">
        <f>IF(B7="","",IFERROR(INDEX(INVENTARIO!$D:$D,MATCH(B7,INVENTARIO!$A:$A,0)),""))</f>
        <v/>
      </c>
      <c r="F7" s="10"/>
      <c r="G7" s="9" t="str">
        <f>IF(B7="","",IFERROR(INDEX(INVENTARIO!$F:$F,MATCH(B7,INVENTARIO!$A:$A,0)),""))</f>
        <v/>
      </c>
      <c r="H7" s="19" t="str">
        <f t="shared" si="0"/>
        <v/>
      </c>
      <c r="I7" s="5"/>
    </row>
    <row r="8" spans="1:9" x14ac:dyDescent="0.25">
      <c r="A8" s="18"/>
      <c r="B8" s="5"/>
      <c r="C8" s="2" t="str">
        <f>IF(B8="","",IFERROR(INDEX(INVENTARIO!$B:$B,MATCH(B8,INVENTARIO!$A:$A,0)),"No encontrado"))</f>
        <v/>
      </c>
      <c r="D8" s="2" t="str">
        <f>IF(B8="","",IFERROR(INDEX(INVENTARIO!$C:$C,MATCH(B8,INVENTARIO!$A:$A,0)),""))</f>
        <v/>
      </c>
      <c r="E8" s="2" t="str">
        <f>IF(B8="","",IFERROR(INDEX(INVENTARIO!$D:$D,MATCH(B8,INVENTARIO!$A:$A,0)),""))</f>
        <v/>
      </c>
      <c r="F8" s="10"/>
      <c r="G8" s="9" t="str">
        <f>IF(B8="","",IFERROR(INDEX(INVENTARIO!$F:$F,MATCH(B8,INVENTARIO!$A:$A,0)),""))</f>
        <v/>
      </c>
      <c r="H8" s="19" t="str">
        <f t="shared" si="0"/>
        <v/>
      </c>
      <c r="I8" s="5"/>
    </row>
    <row r="9" spans="1:9" x14ac:dyDescent="0.25">
      <c r="A9" s="18"/>
      <c r="B9" s="5"/>
      <c r="C9" s="2" t="str">
        <f>IF(B9="","",IFERROR(INDEX(INVENTARIO!$B:$B,MATCH(B9,INVENTARIO!$A:$A,0)),"No encontrado"))</f>
        <v/>
      </c>
      <c r="D9" s="2" t="str">
        <f>IF(B9="","",IFERROR(INDEX(INVENTARIO!$C:$C,MATCH(B9,INVENTARIO!$A:$A,0)),""))</f>
        <v/>
      </c>
      <c r="E9" s="2" t="str">
        <f>IF(B9="","",IFERROR(INDEX(INVENTARIO!$D:$D,MATCH(B9,INVENTARIO!$A:$A,0)),""))</f>
        <v/>
      </c>
      <c r="F9" s="10"/>
      <c r="G9" s="9" t="str">
        <f>IF(B9="","",IFERROR(INDEX(INVENTARIO!$F:$F,MATCH(B9,INVENTARIO!$A:$A,0)),""))</f>
        <v/>
      </c>
      <c r="H9" s="19" t="str">
        <f t="shared" si="0"/>
        <v/>
      </c>
      <c r="I9" s="5"/>
    </row>
    <row r="10" spans="1:9" x14ac:dyDescent="0.25">
      <c r="A10" s="18"/>
      <c r="B10" s="5"/>
      <c r="C10" s="2" t="str">
        <f>IF(B10="","",IFERROR(INDEX(INVENTARIO!$B:$B,MATCH(B10,INVENTARIO!$A:$A,0)),"No encontrado"))</f>
        <v/>
      </c>
      <c r="D10" s="2" t="str">
        <f>IF(B10="","",IFERROR(INDEX(INVENTARIO!$C:$C,MATCH(B10,INVENTARIO!$A:$A,0)),""))</f>
        <v/>
      </c>
      <c r="E10" s="2" t="str">
        <f>IF(B10="","",IFERROR(INDEX(INVENTARIO!$D:$D,MATCH(B10,INVENTARIO!$A:$A,0)),""))</f>
        <v/>
      </c>
      <c r="F10" s="10"/>
      <c r="G10" s="9" t="str">
        <f>IF(B10="","",IFERROR(INDEX(INVENTARIO!$F:$F,MATCH(B10,INVENTARIO!$A:$A,0)),""))</f>
        <v/>
      </c>
      <c r="H10" s="19" t="str">
        <f t="shared" si="0"/>
        <v/>
      </c>
      <c r="I10" s="5"/>
    </row>
    <row r="11" spans="1:9" x14ac:dyDescent="0.25">
      <c r="A11" s="18"/>
      <c r="B11" s="5"/>
      <c r="C11" s="2" t="str">
        <f>IF(B11="","",IFERROR(INDEX(INVENTARIO!$B:$B,MATCH(B11,INVENTARIO!$A:$A,0)),"No encontrado"))</f>
        <v/>
      </c>
      <c r="D11" s="2" t="str">
        <f>IF(B11="","",IFERROR(INDEX(INVENTARIO!$C:$C,MATCH(B11,INVENTARIO!$A:$A,0)),""))</f>
        <v/>
      </c>
      <c r="E11" s="2" t="str">
        <f>IF(B11="","",IFERROR(INDEX(INVENTARIO!$D:$D,MATCH(B11,INVENTARIO!$A:$A,0)),""))</f>
        <v/>
      </c>
      <c r="F11" s="10"/>
      <c r="G11" s="9" t="str">
        <f>IF(B11="","",IFERROR(INDEX(INVENTARIO!$F:$F,MATCH(B11,INVENTARIO!$A:$A,0)),""))</f>
        <v/>
      </c>
      <c r="H11" s="19" t="str">
        <f t="shared" si="0"/>
        <v/>
      </c>
      <c r="I11" s="5"/>
    </row>
    <row r="12" spans="1:9" x14ac:dyDescent="0.25">
      <c r="A12" s="18"/>
      <c r="B12" s="5"/>
      <c r="C12" s="2" t="str">
        <f>IF(B12="","",IFERROR(INDEX(INVENTARIO!$B:$B,MATCH(B12,INVENTARIO!$A:$A,0)),"No encontrado"))</f>
        <v/>
      </c>
      <c r="D12" s="2" t="str">
        <f>IF(B12="","",IFERROR(INDEX(INVENTARIO!$C:$C,MATCH(B12,INVENTARIO!$A:$A,0)),""))</f>
        <v/>
      </c>
      <c r="E12" s="2" t="str">
        <f>IF(B12="","",IFERROR(INDEX(INVENTARIO!$D:$D,MATCH(B12,INVENTARIO!$A:$A,0)),""))</f>
        <v/>
      </c>
      <c r="F12" s="10"/>
      <c r="G12" s="9" t="str">
        <f>IF(B12="","",IFERROR(INDEX(INVENTARIO!$F:$F,MATCH(B12,INVENTARIO!$A:$A,0)),""))</f>
        <v/>
      </c>
      <c r="H12" s="19" t="str">
        <f t="shared" si="0"/>
        <v/>
      </c>
      <c r="I12" s="5"/>
    </row>
    <row r="13" spans="1:9" x14ac:dyDescent="0.25">
      <c r="A13" s="18"/>
      <c r="B13" s="5"/>
      <c r="C13" s="2" t="str">
        <f>IF(B13="","",IFERROR(INDEX(INVENTARIO!$B:$B,MATCH(B13,INVENTARIO!$A:$A,0)),"No encontrado"))</f>
        <v/>
      </c>
      <c r="D13" s="2" t="str">
        <f>IF(B13="","",IFERROR(INDEX(INVENTARIO!$C:$C,MATCH(B13,INVENTARIO!$A:$A,0)),""))</f>
        <v/>
      </c>
      <c r="E13" s="2" t="str">
        <f>IF(B13="","",IFERROR(INDEX(INVENTARIO!$D:$D,MATCH(B13,INVENTARIO!$A:$A,0)),""))</f>
        <v/>
      </c>
      <c r="F13" s="10"/>
      <c r="G13" s="9" t="str">
        <f>IF(B13="","",IFERROR(INDEX(INVENTARIO!$F:$F,MATCH(B13,INVENTARIO!$A:$A,0)),""))</f>
        <v/>
      </c>
      <c r="H13" s="19" t="str">
        <f t="shared" si="0"/>
        <v/>
      </c>
      <c r="I13" s="5"/>
    </row>
    <row r="14" spans="1:9" x14ac:dyDescent="0.25">
      <c r="A14" s="18"/>
      <c r="B14" s="5"/>
      <c r="C14" s="2" t="str">
        <f>IF(B14="","",IFERROR(INDEX(INVENTARIO!$B:$B,MATCH(B14,INVENTARIO!$A:$A,0)),"No encontrado"))</f>
        <v/>
      </c>
      <c r="D14" s="2" t="str">
        <f>IF(B14="","",IFERROR(INDEX(INVENTARIO!$C:$C,MATCH(B14,INVENTARIO!$A:$A,0)),""))</f>
        <v/>
      </c>
      <c r="E14" s="2" t="str">
        <f>IF(B14="","",IFERROR(INDEX(INVENTARIO!$D:$D,MATCH(B14,INVENTARIO!$A:$A,0)),""))</f>
        <v/>
      </c>
      <c r="F14" s="10"/>
      <c r="G14" s="9" t="str">
        <f>IF(B14="","",IFERROR(INDEX(INVENTARIO!$F:$F,MATCH(B14,INVENTARIO!$A:$A,0)),""))</f>
        <v/>
      </c>
      <c r="H14" s="19" t="str">
        <f t="shared" si="0"/>
        <v/>
      </c>
      <c r="I14" s="5"/>
    </row>
    <row r="15" spans="1:9" x14ac:dyDescent="0.25">
      <c r="A15" s="18"/>
      <c r="B15" s="5"/>
      <c r="C15" s="2" t="str">
        <f>IF(B15="","",IFERROR(INDEX(INVENTARIO!$B:$B,MATCH(B15,INVENTARIO!$A:$A,0)),"No encontrado"))</f>
        <v/>
      </c>
      <c r="D15" s="2" t="str">
        <f>IF(B15="","",IFERROR(INDEX(INVENTARIO!$C:$C,MATCH(B15,INVENTARIO!$A:$A,0)),""))</f>
        <v/>
      </c>
      <c r="E15" s="2" t="str">
        <f>IF(B15="","",IFERROR(INDEX(INVENTARIO!$D:$D,MATCH(B15,INVENTARIO!$A:$A,0)),""))</f>
        <v/>
      </c>
      <c r="F15" s="10"/>
      <c r="G15" s="9" t="str">
        <f>IF(B15="","",IFERROR(INDEX(INVENTARIO!$F:$F,MATCH(B15,INVENTARIO!$A:$A,0)),""))</f>
        <v/>
      </c>
      <c r="H15" s="19" t="str">
        <f t="shared" si="0"/>
        <v/>
      </c>
      <c r="I15" s="5"/>
    </row>
    <row r="16" spans="1:9" x14ac:dyDescent="0.25">
      <c r="A16" s="18"/>
      <c r="B16" s="5"/>
      <c r="C16" s="2" t="str">
        <f>IF(B16="","",IFERROR(INDEX(INVENTARIO!$B:$B,MATCH(B16,INVENTARIO!$A:$A,0)),"No encontrado"))</f>
        <v/>
      </c>
      <c r="D16" s="2" t="str">
        <f>IF(B16="","",IFERROR(INDEX(INVENTARIO!$C:$C,MATCH(B16,INVENTARIO!$A:$A,0)),""))</f>
        <v/>
      </c>
      <c r="E16" s="2" t="str">
        <f>IF(B16="","",IFERROR(INDEX(INVENTARIO!$D:$D,MATCH(B16,INVENTARIO!$A:$A,0)),""))</f>
        <v/>
      </c>
      <c r="F16" s="10"/>
      <c r="G16" s="9" t="str">
        <f>IF(B16="","",IFERROR(INDEX(INVENTARIO!$F:$F,MATCH(B16,INVENTARIO!$A:$A,0)),""))</f>
        <v/>
      </c>
      <c r="H16" s="19" t="str">
        <f t="shared" si="0"/>
        <v/>
      </c>
      <c r="I16" s="5"/>
    </row>
    <row r="17" spans="1:9" x14ac:dyDescent="0.25">
      <c r="A17" s="18"/>
      <c r="B17" s="5"/>
      <c r="C17" s="2" t="str">
        <f>IF(B17="","",IFERROR(INDEX(INVENTARIO!$B:$B,MATCH(B17,INVENTARIO!$A:$A,0)),"No encontrado"))</f>
        <v/>
      </c>
      <c r="D17" s="2" t="str">
        <f>IF(B17="","",IFERROR(INDEX(INVENTARIO!$C:$C,MATCH(B17,INVENTARIO!$A:$A,0)),""))</f>
        <v/>
      </c>
      <c r="E17" s="2" t="str">
        <f>IF(B17="","",IFERROR(INDEX(INVENTARIO!$D:$D,MATCH(B17,INVENTARIO!$A:$A,0)),""))</f>
        <v/>
      </c>
      <c r="F17" s="10"/>
      <c r="G17" s="9" t="str">
        <f>IF(B17="","",IFERROR(INDEX(INVENTARIO!$F:$F,MATCH(B17,INVENTARIO!$A:$A,0)),""))</f>
        <v/>
      </c>
      <c r="H17" s="19" t="str">
        <f t="shared" si="0"/>
        <v/>
      </c>
      <c r="I17" s="5"/>
    </row>
    <row r="18" spans="1:9" x14ac:dyDescent="0.25">
      <c r="A18" s="18"/>
      <c r="B18" s="5"/>
      <c r="C18" s="2" t="str">
        <f>IF(B18="","",IFERROR(INDEX(INVENTARIO!$B:$B,MATCH(B18,INVENTARIO!$A:$A,0)),"No encontrado"))</f>
        <v/>
      </c>
      <c r="D18" s="2" t="str">
        <f>IF(B18="","",IFERROR(INDEX(INVENTARIO!$C:$C,MATCH(B18,INVENTARIO!$A:$A,0)),""))</f>
        <v/>
      </c>
      <c r="E18" s="2" t="str">
        <f>IF(B18="","",IFERROR(INDEX(INVENTARIO!$D:$D,MATCH(B18,INVENTARIO!$A:$A,0)),""))</f>
        <v/>
      </c>
      <c r="F18" s="10"/>
      <c r="G18" s="9" t="str">
        <f>IF(B18="","",IFERROR(INDEX(INVENTARIO!$F:$F,MATCH(B18,INVENTARIO!$A:$A,0)),""))</f>
        <v/>
      </c>
      <c r="H18" s="19" t="str">
        <f t="shared" si="0"/>
        <v/>
      </c>
      <c r="I18" s="5"/>
    </row>
    <row r="19" spans="1:9" x14ac:dyDescent="0.25">
      <c r="A19" s="18"/>
      <c r="B19" s="5"/>
      <c r="C19" s="2" t="str">
        <f>IF(B19="","",IFERROR(INDEX(INVENTARIO!$B:$B,MATCH(B19,INVENTARIO!$A:$A,0)),"No encontrado"))</f>
        <v/>
      </c>
      <c r="D19" s="2" t="str">
        <f>IF(B19="","",IFERROR(INDEX(INVENTARIO!$C:$C,MATCH(B19,INVENTARIO!$A:$A,0)),""))</f>
        <v/>
      </c>
      <c r="E19" s="2" t="str">
        <f>IF(B19="","",IFERROR(INDEX(INVENTARIO!$D:$D,MATCH(B19,INVENTARIO!$A:$A,0)),""))</f>
        <v/>
      </c>
      <c r="F19" s="10"/>
      <c r="G19" s="9" t="str">
        <f>IF(B19="","",IFERROR(INDEX(INVENTARIO!$F:$F,MATCH(B19,INVENTARIO!$A:$A,0)),""))</f>
        <v/>
      </c>
      <c r="H19" s="19" t="str">
        <f t="shared" si="0"/>
        <v/>
      </c>
      <c r="I19" s="5"/>
    </row>
    <row r="20" spans="1:9" x14ac:dyDescent="0.25">
      <c r="A20" s="18"/>
      <c r="B20" s="5"/>
      <c r="C20" s="2" t="str">
        <f>IF(B20="","",IFERROR(INDEX(INVENTARIO!$B:$B,MATCH(B20,INVENTARIO!$A:$A,0)),"No encontrado"))</f>
        <v/>
      </c>
      <c r="D20" s="2" t="str">
        <f>IF(B20="","",IFERROR(INDEX(INVENTARIO!$C:$C,MATCH(B20,INVENTARIO!$A:$A,0)),""))</f>
        <v/>
      </c>
      <c r="E20" s="2" t="str">
        <f>IF(B20="","",IFERROR(INDEX(INVENTARIO!$D:$D,MATCH(B20,INVENTARIO!$A:$A,0)),""))</f>
        <v/>
      </c>
      <c r="F20" s="10"/>
      <c r="G20" s="9" t="str">
        <f>IF(B20="","",IFERROR(INDEX(INVENTARIO!$F:$F,MATCH(B20,INVENTARIO!$A:$A,0)),""))</f>
        <v/>
      </c>
      <c r="H20" s="19" t="str">
        <f t="shared" si="0"/>
        <v/>
      </c>
      <c r="I20" s="5"/>
    </row>
    <row r="21" spans="1:9" x14ac:dyDescent="0.25">
      <c r="A21" s="18"/>
      <c r="B21" s="5"/>
      <c r="C21" s="2" t="str">
        <f>IF(B21="","",IFERROR(INDEX(INVENTARIO!$B:$B,MATCH(B21,INVENTARIO!$A:$A,0)),"No encontrado"))</f>
        <v/>
      </c>
      <c r="D21" s="2" t="str">
        <f>IF(B21="","",IFERROR(INDEX(INVENTARIO!$C:$C,MATCH(B21,INVENTARIO!$A:$A,0)),""))</f>
        <v/>
      </c>
      <c r="E21" s="2" t="str">
        <f>IF(B21="","",IFERROR(INDEX(INVENTARIO!$D:$D,MATCH(B21,INVENTARIO!$A:$A,0)),""))</f>
        <v/>
      </c>
      <c r="F21" s="10"/>
      <c r="G21" s="9" t="str">
        <f>IF(B21="","",IFERROR(INDEX(INVENTARIO!$F:$F,MATCH(B21,INVENTARIO!$A:$A,0)),""))</f>
        <v/>
      </c>
      <c r="H21" s="19" t="str">
        <f t="shared" si="0"/>
        <v/>
      </c>
      <c r="I21" s="5"/>
    </row>
    <row r="22" spans="1:9" x14ac:dyDescent="0.25">
      <c r="A22" s="18"/>
      <c r="B22" s="5"/>
      <c r="C22" s="2" t="str">
        <f>IF(B22="","",IFERROR(INDEX(INVENTARIO!$B:$B,MATCH(B22,INVENTARIO!$A:$A,0)),"No encontrado"))</f>
        <v/>
      </c>
      <c r="D22" s="2" t="str">
        <f>IF(B22="","",IFERROR(INDEX(INVENTARIO!$C:$C,MATCH(B22,INVENTARIO!$A:$A,0)),""))</f>
        <v/>
      </c>
      <c r="E22" s="2" t="str">
        <f>IF(B22="","",IFERROR(INDEX(INVENTARIO!$D:$D,MATCH(B22,INVENTARIO!$A:$A,0)),""))</f>
        <v/>
      </c>
      <c r="F22" s="10"/>
      <c r="G22" s="9" t="str">
        <f>IF(B22="","",IFERROR(INDEX(INVENTARIO!$F:$F,MATCH(B22,INVENTARIO!$A:$A,0)),""))</f>
        <v/>
      </c>
      <c r="H22" s="19" t="str">
        <f t="shared" si="0"/>
        <v/>
      </c>
      <c r="I22" s="5"/>
    </row>
    <row r="23" spans="1:9" x14ac:dyDescent="0.25">
      <c r="A23" s="18"/>
      <c r="B23" s="5"/>
      <c r="C23" s="2" t="str">
        <f>IF(B23="","",IFERROR(INDEX(INVENTARIO!$B:$B,MATCH(B23,INVENTARIO!$A:$A,0)),"No encontrado"))</f>
        <v/>
      </c>
      <c r="D23" s="2" t="str">
        <f>IF(B23="","",IFERROR(INDEX(INVENTARIO!$C:$C,MATCH(B23,INVENTARIO!$A:$A,0)),""))</f>
        <v/>
      </c>
      <c r="E23" s="2" t="str">
        <f>IF(B23="","",IFERROR(INDEX(INVENTARIO!$D:$D,MATCH(B23,INVENTARIO!$A:$A,0)),""))</f>
        <v/>
      </c>
      <c r="F23" s="10"/>
      <c r="G23" s="9" t="str">
        <f>IF(B23="","",IFERROR(INDEX(INVENTARIO!$F:$F,MATCH(B23,INVENTARIO!$A:$A,0)),""))</f>
        <v/>
      </c>
      <c r="H23" s="19" t="str">
        <f t="shared" si="0"/>
        <v/>
      </c>
      <c r="I23" s="5"/>
    </row>
    <row r="24" spans="1:9" x14ac:dyDescent="0.25">
      <c r="A24" s="18"/>
      <c r="B24" s="5"/>
      <c r="C24" s="2" t="str">
        <f>IF(B24="","",IFERROR(INDEX(INVENTARIO!$B:$B,MATCH(B24,INVENTARIO!$A:$A,0)),"No encontrado"))</f>
        <v/>
      </c>
      <c r="D24" s="2" t="str">
        <f>IF(B24="","",IFERROR(INDEX(INVENTARIO!$C:$C,MATCH(B24,INVENTARIO!$A:$A,0)),""))</f>
        <v/>
      </c>
      <c r="E24" s="2" t="str">
        <f>IF(B24="","",IFERROR(INDEX(INVENTARIO!$D:$D,MATCH(B24,INVENTARIO!$A:$A,0)),""))</f>
        <v/>
      </c>
      <c r="F24" s="10"/>
      <c r="G24" s="9" t="str">
        <f>IF(B24="","",IFERROR(INDEX(INVENTARIO!$F:$F,MATCH(B24,INVENTARIO!$A:$A,0)),""))</f>
        <v/>
      </c>
      <c r="H24" s="19" t="str">
        <f t="shared" si="0"/>
        <v/>
      </c>
      <c r="I24" s="5"/>
    </row>
    <row r="25" spans="1:9" x14ac:dyDescent="0.25">
      <c r="A25" s="18"/>
      <c r="B25" s="5"/>
      <c r="C25" s="2" t="str">
        <f>IF(B25="","",IFERROR(INDEX(INVENTARIO!$B:$B,MATCH(B25,INVENTARIO!$A:$A,0)),"No encontrado"))</f>
        <v/>
      </c>
      <c r="D25" s="2" t="str">
        <f>IF(B25="","",IFERROR(INDEX(INVENTARIO!$C:$C,MATCH(B25,INVENTARIO!$A:$A,0)),""))</f>
        <v/>
      </c>
      <c r="E25" s="2" t="str">
        <f>IF(B25="","",IFERROR(INDEX(INVENTARIO!$D:$D,MATCH(B25,INVENTARIO!$A:$A,0)),""))</f>
        <v/>
      </c>
      <c r="F25" s="10"/>
      <c r="G25" s="9" t="str">
        <f>IF(B25="","",IFERROR(INDEX(INVENTARIO!$F:$F,MATCH(B25,INVENTARIO!$A:$A,0)),""))</f>
        <v/>
      </c>
      <c r="H25" s="19" t="str">
        <f t="shared" si="0"/>
        <v/>
      </c>
      <c r="I25" s="5"/>
    </row>
    <row r="26" spans="1:9" x14ac:dyDescent="0.25">
      <c r="A26" s="18"/>
      <c r="B26" s="5"/>
      <c r="C26" s="2" t="str">
        <f>IF(B26="","",IFERROR(INDEX(INVENTARIO!$B:$B,MATCH(B26,INVENTARIO!$A:$A,0)),"No encontrado"))</f>
        <v/>
      </c>
      <c r="D26" s="2" t="str">
        <f>IF(B26="","",IFERROR(INDEX(INVENTARIO!$C:$C,MATCH(B26,INVENTARIO!$A:$A,0)),""))</f>
        <v/>
      </c>
      <c r="E26" s="2" t="str">
        <f>IF(B26="","",IFERROR(INDEX(INVENTARIO!$D:$D,MATCH(B26,INVENTARIO!$A:$A,0)),""))</f>
        <v/>
      </c>
      <c r="F26" s="10"/>
      <c r="G26" s="9" t="str">
        <f>IF(B26="","",IFERROR(INDEX(INVENTARIO!$F:$F,MATCH(B26,INVENTARIO!$A:$A,0)),""))</f>
        <v/>
      </c>
      <c r="H26" s="19" t="str">
        <f t="shared" si="0"/>
        <v/>
      </c>
      <c r="I26" s="5"/>
    </row>
    <row r="27" spans="1:9" x14ac:dyDescent="0.25">
      <c r="A27" s="18"/>
      <c r="B27" s="5"/>
      <c r="C27" s="2" t="str">
        <f>IF(B27="","",IFERROR(INDEX(INVENTARIO!$B:$B,MATCH(B27,INVENTARIO!$A:$A,0)),"No encontrado"))</f>
        <v/>
      </c>
      <c r="D27" s="2" t="str">
        <f>IF(B27="","",IFERROR(INDEX(INVENTARIO!$C:$C,MATCH(B27,INVENTARIO!$A:$A,0)),""))</f>
        <v/>
      </c>
      <c r="E27" s="2" t="str">
        <f>IF(B27="","",IFERROR(INDEX(INVENTARIO!$D:$D,MATCH(B27,INVENTARIO!$A:$A,0)),""))</f>
        <v/>
      </c>
      <c r="F27" s="10"/>
      <c r="G27" s="9" t="str">
        <f>IF(B27="","",IFERROR(INDEX(INVENTARIO!$F:$F,MATCH(B27,INVENTARIO!$A:$A,0)),""))</f>
        <v/>
      </c>
      <c r="H27" s="19" t="str">
        <f t="shared" si="0"/>
        <v/>
      </c>
      <c r="I27" s="5"/>
    </row>
    <row r="28" spans="1:9" x14ac:dyDescent="0.25">
      <c r="A28" s="18"/>
      <c r="B28" s="5"/>
      <c r="C28" s="2" t="str">
        <f>IF(B28="","",IFERROR(INDEX(INVENTARIO!$B:$B,MATCH(B28,INVENTARIO!$A:$A,0)),"No encontrado"))</f>
        <v/>
      </c>
      <c r="D28" s="2" t="str">
        <f>IF(B28="","",IFERROR(INDEX(INVENTARIO!$C:$C,MATCH(B28,INVENTARIO!$A:$A,0)),""))</f>
        <v/>
      </c>
      <c r="E28" s="2" t="str">
        <f>IF(B28="","",IFERROR(INDEX(INVENTARIO!$D:$D,MATCH(B28,INVENTARIO!$A:$A,0)),""))</f>
        <v/>
      </c>
      <c r="F28" s="10"/>
      <c r="G28" s="9" t="str">
        <f>IF(B28="","",IFERROR(INDEX(INVENTARIO!$F:$F,MATCH(B28,INVENTARIO!$A:$A,0)),""))</f>
        <v/>
      </c>
      <c r="H28" s="19" t="str">
        <f t="shared" si="0"/>
        <v/>
      </c>
      <c r="I28" s="5"/>
    </row>
    <row r="29" spans="1:9" x14ac:dyDescent="0.25">
      <c r="A29" s="18"/>
      <c r="B29" s="5"/>
      <c r="C29" s="2" t="str">
        <f>IF(B29="","",IFERROR(INDEX(INVENTARIO!$B:$B,MATCH(B29,INVENTARIO!$A:$A,0)),"No encontrado"))</f>
        <v/>
      </c>
      <c r="D29" s="2" t="str">
        <f>IF(B29="","",IFERROR(INDEX(INVENTARIO!$C:$C,MATCH(B29,INVENTARIO!$A:$A,0)),""))</f>
        <v/>
      </c>
      <c r="E29" s="2" t="str">
        <f>IF(B29="","",IFERROR(INDEX(INVENTARIO!$D:$D,MATCH(B29,INVENTARIO!$A:$A,0)),""))</f>
        <v/>
      </c>
      <c r="F29" s="10"/>
      <c r="G29" s="9" t="str">
        <f>IF(B29="","",IFERROR(INDEX(INVENTARIO!$F:$F,MATCH(B29,INVENTARIO!$A:$A,0)),""))</f>
        <v/>
      </c>
      <c r="H29" s="19" t="str">
        <f t="shared" si="0"/>
        <v/>
      </c>
      <c r="I29" s="5"/>
    </row>
    <row r="30" spans="1:9" x14ac:dyDescent="0.25">
      <c r="A30" s="18"/>
      <c r="B30" s="5"/>
      <c r="C30" s="2" t="str">
        <f>IF(B30="","",IFERROR(INDEX(INVENTARIO!$B:$B,MATCH(B30,INVENTARIO!$A:$A,0)),"No encontrado"))</f>
        <v/>
      </c>
      <c r="D30" s="2" t="str">
        <f>IF(B30="","",IFERROR(INDEX(INVENTARIO!$C:$C,MATCH(B30,INVENTARIO!$A:$A,0)),""))</f>
        <v/>
      </c>
      <c r="E30" s="2" t="str">
        <f>IF(B30="","",IFERROR(INDEX(INVENTARIO!$D:$D,MATCH(B30,INVENTARIO!$A:$A,0)),""))</f>
        <v/>
      </c>
      <c r="F30" s="10"/>
      <c r="G30" s="9" t="str">
        <f>IF(B30="","",IFERROR(INDEX(INVENTARIO!$F:$F,MATCH(B30,INVENTARIO!$A:$A,0)),""))</f>
        <v/>
      </c>
      <c r="H30" s="19" t="str">
        <f t="shared" si="0"/>
        <v/>
      </c>
      <c r="I30" s="5"/>
    </row>
    <row r="31" spans="1:9" x14ac:dyDescent="0.25">
      <c r="A31" s="18"/>
      <c r="B31" s="5"/>
      <c r="C31" s="2" t="str">
        <f>IF(B31="","",IFERROR(INDEX(INVENTARIO!$B:$B,MATCH(B31,INVENTARIO!$A:$A,0)),"No encontrado"))</f>
        <v/>
      </c>
      <c r="D31" s="2" t="str">
        <f>IF(B31="","",IFERROR(INDEX(INVENTARIO!$C:$C,MATCH(B31,INVENTARIO!$A:$A,0)),""))</f>
        <v/>
      </c>
      <c r="E31" s="2" t="str">
        <f>IF(B31="","",IFERROR(INDEX(INVENTARIO!$D:$D,MATCH(B31,INVENTARIO!$A:$A,0)),""))</f>
        <v/>
      </c>
      <c r="F31" s="10"/>
      <c r="G31" s="9" t="str">
        <f>IF(B31="","",IFERROR(INDEX(INVENTARIO!$F:$F,MATCH(B31,INVENTARIO!$A:$A,0)),""))</f>
        <v/>
      </c>
      <c r="H31" s="19" t="str">
        <f t="shared" si="0"/>
        <v/>
      </c>
      <c r="I31" s="5"/>
    </row>
    <row r="32" spans="1:9" x14ac:dyDescent="0.25">
      <c r="A32" s="18"/>
      <c r="B32" s="5"/>
      <c r="C32" s="2" t="str">
        <f>IF(B32="","",IFERROR(INDEX(INVENTARIO!$B:$B,MATCH(B32,INVENTARIO!$A:$A,0)),"No encontrado"))</f>
        <v/>
      </c>
      <c r="D32" s="2" t="str">
        <f>IF(B32="","",IFERROR(INDEX(INVENTARIO!$C:$C,MATCH(B32,INVENTARIO!$A:$A,0)),""))</f>
        <v/>
      </c>
      <c r="E32" s="2" t="str">
        <f>IF(B32="","",IFERROR(INDEX(INVENTARIO!$D:$D,MATCH(B32,INVENTARIO!$A:$A,0)),""))</f>
        <v/>
      </c>
      <c r="F32" s="10"/>
      <c r="G32" s="9" t="str">
        <f>IF(B32="","",IFERROR(INDEX(INVENTARIO!$F:$F,MATCH(B32,INVENTARIO!$A:$A,0)),""))</f>
        <v/>
      </c>
      <c r="H32" s="19" t="str">
        <f t="shared" si="0"/>
        <v/>
      </c>
      <c r="I32" s="5"/>
    </row>
    <row r="33" spans="1:9" x14ac:dyDescent="0.25">
      <c r="A33" s="18"/>
      <c r="B33" s="5"/>
      <c r="C33" s="2" t="str">
        <f>IF(B33="","",IFERROR(INDEX(INVENTARIO!$B:$B,MATCH(B33,INVENTARIO!$A:$A,0)),"No encontrado"))</f>
        <v/>
      </c>
      <c r="D33" s="2" t="str">
        <f>IF(B33="","",IFERROR(INDEX(INVENTARIO!$C:$C,MATCH(B33,INVENTARIO!$A:$A,0)),""))</f>
        <v/>
      </c>
      <c r="E33" s="2" t="str">
        <f>IF(B33="","",IFERROR(INDEX(INVENTARIO!$D:$D,MATCH(B33,INVENTARIO!$A:$A,0)),""))</f>
        <v/>
      </c>
      <c r="F33" s="10"/>
      <c r="G33" s="9" t="str">
        <f>IF(B33="","",IFERROR(INDEX(INVENTARIO!$F:$F,MATCH(B33,INVENTARIO!$A:$A,0)),""))</f>
        <v/>
      </c>
      <c r="H33" s="19" t="str">
        <f t="shared" si="0"/>
        <v/>
      </c>
      <c r="I33" s="5"/>
    </row>
    <row r="34" spans="1:9" x14ac:dyDescent="0.25">
      <c r="A34" s="18"/>
      <c r="B34" s="5"/>
      <c r="C34" s="2" t="str">
        <f>IF(B34="","",IFERROR(INDEX(INVENTARIO!$B:$B,MATCH(B34,INVENTARIO!$A:$A,0)),"No encontrado"))</f>
        <v/>
      </c>
      <c r="D34" s="2" t="str">
        <f>IF(B34="","",IFERROR(INDEX(INVENTARIO!$C:$C,MATCH(B34,INVENTARIO!$A:$A,0)),""))</f>
        <v/>
      </c>
      <c r="E34" s="2" t="str">
        <f>IF(B34="","",IFERROR(INDEX(INVENTARIO!$D:$D,MATCH(B34,INVENTARIO!$A:$A,0)),""))</f>
        <v/>
      </c>
      <c r="F34" s="10"/>
      <c r="G34" s="9" t="str">
        <f>IF(B34="","",IFERROR(INDEX(INVENTARIO!$F:$F,MATCH(B34,INVENTARIO!$A:$A,0)),""))</f>
        <v/>
      </c>
      <c r="H34" s="19" t="str">
        <f t="shared" si="0"/>
        <v/>
      </c>
      <c r="I34" s="5"/>
    </row>
    <row r="35" spans="1:9" x14ac:dyDescent="0.25">
      <c r="A35" s="18"/>
      <c r="B35" s="5"/>
      <c r="C35" s="2" t="str">
        <f>IF(B35="","",IFERROR(INDEX(INVENTARIO!$B:$B,MATCH(B35,INVENTARIO!$A:$A,0)),"No encontrado"))</f>
        <v/>
      </c>
      <c r="D35" s="2" t="str">
        <f>IF(B35="","",IFERROR(INDEX(INVENTARIO!$C:$C,MATCH(B35,INVENTARIO!$A:$A,0)),""))</f>
        <v/>
      </c>
      <c r="E35" s="2" t="str">
        <f>IF(B35="","",IFERROR(INDEX(INVENTARIO!$D:$D,MATCH(B35,INVENTARIO!$A:$A,0)),""))</f>
        <v/>
      </c>
      <c r="F35" s="10"/>
      <c r="G35" s="9" t="str">
        <f>IF(B35="","",IFERROR(INDEX(INVENTARIO!$F:$F,MATCH(B35,INVENTARIO!$A:$A,0)),""))</f>
        <v/>
      </c>
      <c r="H35" s="19" t="str">
        <f t="shared" si="0"/>
        <v/>
      </c>
      <c r="I35" s="5"/>
    </row>
    <row r="36" spans="1:9" x14ac:dyDescent="0.25">
      <c r="A36" s="18"/>
      <c r="B36" s="5"/>
      <c r="C36" s="2" t="str">
        <f>IF(B36="","",IFERROR(INDEX(INVENTARIO!$B:$B,MATCH(B36,INVENTARIO!$A:$A,0)),"No encontrado"))</f>
        <v/>
      </c>
      <c r="D36" s="2" t="str">
        <f>IF(B36="","",IFERROR(INDEX(INVENTARIO!$C:$C,MATCH(B36,INVENTARIO!$A:$A,0)),""))</f>
        <v/>
      </c>
      <c r="E36" s="2" t="str">
        <f>IF(B36="","",IFERROR(INDEX(INVENTARIO!$D:$D,MATCH(B36,INVENTARIO!$A:$A,0)),""))</f>
        <v/>
      </c>
      <c r="F36" s="10"/>
      <c r="G36" s="9" t="str">
        <f>IF(B36="","",IFERROR(INDEX(INVENTARIO!$F:$F,MATCH(B36,INVENTARIO!$A:$A,0)),""))</f>
        <v/>
      </c>
      <c r="H36" s="19" t="str">
        <f t="shared" si="0"/>
        <v/>
      </c>
      <c r="I36" s="5"/>
    </row>
    <row r="37" spans="1:9" x14ac:dyDescent="0.25">
      <c r="A37" s="18"/>
      <c r="B37" s="5"/>
      <c r="C37" s="2" t="str">
        <f>IF(B37="","",IFERROR(INDEX(INVENTARIO!$B:$B,MATCH(B37,INVENTARIO!$A:$A,0)),"No encontrado"))</f>
        <v/>
      </c>
      <c r="D37" s="2" t="str">
        <f>IF(B37="","",IFERROR(INDEX(INVENTARIO!$C:$C,MATCH(B37,INVENTARIO!$A:$A,0)),""))</f>
        <v/>
      </c>
      <c r="E37" s="2" t="str">
        <f>IF(B37="","",IFERROR(INDEX(INVENTARIO!$D:$D,MATCH(B37,INVENTARIO!$A:$A,0)),""))</f>
        <v/>
      </c>
      <c r="F37" s="10"/>
      <c r="G37" s="9" t="str">
        <f>IF(B37="","",IFERROR(INDEX(INVENTARIO!$F:$F,MATCH(B37,INVENTARIO!$A:$A,0)),""))</f>
        <v/>
      </c>
      <c r="H37" s="19" t="str">
        <f t="shared" ref="H37:H68" si="1">IF(B37="","",G37*F37)</f>
        <v/>
      </c>
      <c r="I37" s="5"/>
    </row>
    <row r="38" spans="1:9" x14ac:dyDescent="0.25">
      <c r="A38" s="18"/>
      <c r="B38" s="5"/>
      <c r="C38" s="2" t="str">
        <f>IF(B38="","",IFERROR(INDEX(INVENTARIO!$B:$B,MATCH(B38,INVENTARIO!$A:$A,0)),"No encontrado"))</f>
        <v/>
      </c>
      <c r="D38" s="2" t="str">
        <f>IF(B38="","",IFERROR(INDEX(INVENTARIO!$C:$C,MATCH(B38,INVENTARIO!$A:$A,0)),""))</f>
        <v/>
      </c>
      <c r="E38" s="2" t="str">
        <f>IF(B38="","",IFERROR(INDEX(INVENTARIO!$D:$D,MATCH(B38,INVENTARIO!$A:$A,0)),""))</f>
        <v/>
      </c>
      <c r="F38" s="10"/>
      <c r="G38" s="9" t="str">
        <f>IF(B38="","",IFERROR(INDEX(INVENTARIO!$F:$F,MATCH(B38,INVENTARIO!$A:$A,0)),""))</f>
        <v/>
      </c>
      <c r="H38" s="19" t="str">
        <f t="shared" si="1"/>
        <v/>
      </c>
      <c r="I38" s="5"/>
    </row>
    <row r="39" spans="1:9" x14ac:dyDescent="0.25">
      <c r="A39" s="18"/>
      <c r="B39" s="5"/>
      <c r="C39" s="2" t="str">
        <f>IF(B39="","",IFERROR(INDEX(INVENTARIO!$B:$B,MATCH(B39,INVENTARIO!$A:$A,0)),"No encontrado"))</f>
        <v/>
      </c>
      <c r="D39" s="2" t="str">
        <f>IF(B39="","",IFERROR(INDEX(INVENTARIO!$C:$C,MATCH(B39,INVENTARIO!$A:$A,0)),""))</f>
        <v/>
      </c>
      <c r="E39" s="2" t="str">
        <f>IF(B39="","",IFERROR(INDEX(INVENTARIO!$D:$D,MATCH(B39,INVENTARIO!$A:$A,0)),""))</f>
        <v/>
      </c>
      <c r="F39" s="10"/>
      <c r="G39" s="9" t="str">
        <f>IF(B39="","",IFERROR(INDEX(INVENTARIO!$F:$F,MATCH(B39,INVENTARIO!$A:$A,0)),""))</f>
        <v/>
      </c>
      <c r="H39" s="19" t="str">
        <f t="shared" si="1"/>
        <v/>
      </c>
      <c r="I39" s="5"/>
    </row>
    <row r="40" spans="1:9" x14ac:dyDescent="0.25">
      <c r="A40" s="18"/>
      <c r="B40" s="5"/>
      <c r="C40" s="2" t="str">
        <f>IF(B40="","",IFERROR(INDEX(INVENTARIO!$B:$B,MATCH(B40,INVENTARIO!$A:$A,0)),"No encontrado"))</f>
        <v/>
      </c>
      <c r="D40" s="2" t="str">
        <f>IF(B40="","",IFERROR(INDEX(INVENTARIO!$C:$C,MATCH(B40,INVENTARIO!$A:$A,0)),""))</f>
        <v/>
      </c>
      <c r="E40" s="2" t="str">
        <f>IF(B40="","",IFERROR(INDEX(INVENTARIO!$D:$D,MATCH(B40,INVENTARIO!$A:$A,0)),""))</f>
        <v/>
      </c>
      <c r="F40" s="10"/>
      <c r="G40" s="9" t="str">
        <f>IF(B40="","",IFERROR(INDEX(INVENTARIO!$F:$F,MATCH(B40,INVENTARIO!$A:$A,0)),""))</f>
        <v/>
      </c>
      <c r="H40" s="19" t="str">
        <f t="shared" si="1"/>
        <v/>
      </c>
      <c r="I40" s="5"/>
    </row>
    <row r="41" spans="1:9" x14ac:dyDescent="0.25">
      <c r="A41" s="18"/>
      <c r="B41" s="5"/>
      <c r="C41" s="2" t="str">
        <f>IF(B41="","",IFERROR(INDEX(INVENTARIO!$B:$B,MATCH(B41,INVENTARIO!$A:$A,0)),"No encontrado"))</f>
        <v/>
      </c>
      <c r="D41" s="2" t="str">
        <f>IF(B41="","",IFERROR(INDEX(INVENTARIO!$C:$C,MATCH(B41,INVENTARIO!$A:$A,0)),""))</f>
        <v/>
      </c>
      <c r="E41" s="2" t="str">
        <f>IF(B41="","",IFERROR(INDEX(INVENTARIO!$D:$D,MATCH(B41,INVENTARIO!$A:$A,0)),""))</f>
        <v/>
      </c>
      <c r="F41" s="10"/>
      <c r="G41" s="9" t="str">
        <f>IF(B41="","",IFERROR(INDEX(INVENTARIO!$F:$F,MATCH(B41,INVENTARIO!$A:$A,0)),""))</f>
        <v/>
      </c>
      <c r="H41" s="19" t="str">
        <f t="shared" si="1"/>
        <v/>
      </c>
      <c r="I41" s="5"/>
    </row>
    <row r="42" spans="1:9" x14ac:dyDescent="0.25">
      <c r="A42" s="18"/>
      <c r="B42" s="5"/>
      <c r="C42" s="2" t="str">
        <f>IF(B42="","",IFERROR(INDEX(INVENTARIO!$B:$B,MATCH(B42,INVENTARIO!$A:$A,0)),"No encontrado"))</f>
        <v/>
      </c>
      <c r="D42" s="2" t="str">
        <f>IF(B42="","",IFERROR(INDEX(INVENTARIO!$C:$C,MATCH(B42,INVENTARIO!$A:$A,0)),""))</f>
        <v/>
      </c>
      <c r="E42" s="2" t="str">
        <f>IF(B42="","",IFERROR(INDEX(INVENTARIO!$D:$D,MATCH(B42,INVENTARIO!$A:$A,0)),""))</f>
        <v/>
      </c>
      <c r="F42" s="10"/>
      <c r="G42" s="9" t="str">
        <f>IF(B42="","",IFERROR(INDEX(INVENTARIO!$F:$F,MATCH(B42,INVENTARIO!$A:$A,0)),""))</f>
        <v/>
      </c>
      <c r="H42" s="19" t="str">
        <f t="shared" si="1"/>
        <v/>
      </c>
      <c r="I42" s="5"/>
    </row>
    <row r="43" spans="1:9" x14ac:dyDescent="0.25">
      <c r="A43" s="18"/>
      <c r="B43" s="5"/>
      <c r="C43" s="2" t="str">
        <f>IF(B43="","",IFERROR(INDEX(INVENTARIO!$B:$B,MATCH(B43,INVENTARIO!$A:$A,0)),"No encontrado"))</f>
        <v/>
      </c>
      <c r="D43" s="2" t="str">
        <f>IF(B43="","",IFERROR(INDEX(INVENTARIO!$C:$C,MATCH(B43,INVENTARIO!$A:$A,0)),""))</f>
        <v/>
      </c>
      <c r="E43" s="2" t="str">
        <f>IF(B43="","",IFERROR(INDEX(INVENTARIO!$D:$D,MATCH(B43,INVENTARIO!$A:$A,0)),""))</f>
        <v/>
      </c>
      <c r="F43" s="10"/>
      <c r="G43" s="9" t="str">
        <f>IF(B43="","",IFERROR(INDEX(INVENTARIO!$F:$F,MATCH(B43,INVENTARIO!$A:$A,0)),""))</f>
        <v/>
      </c>
      <c r="H43" s="19" t="str">
        <f t="shared" si="1"/>
        <v/>
      </c>
      <c r="I43" s="5"/>
    </row>
    <row r="44" spans="1:9" x14ac:dyDescent="0.25">
      <c r="A44" s="18"/>
      <c r="B44" s="5"/>
      <c r="C44" s="2" t="str">
        <f>IF(B44="","",IFERROR(INDEX(INVENTARIO!$B:$B,MATCH(B44,INVENTARIO!$A:$A,0)),"No encontrado"))</f>
        <v/>
      </c>
      <c r="D44" s="2" t="str">
        <f>IF(B44="","",IFERROR(INDEX(INVENTARIO!$C:$C,MATCH(B44,INVENTARIO!$A:$A,0)),""))</f>
        <v/>
      </c>
      <c r="E44" s="2" t="str">
        <f>IF(B44="","",IFERROR(INDEX(INVENTARIO!$D:$D,MATCH(B44,INVENTARIO!$A:$A,0)),""))</f>
        <v/>
      </c>
      <c r="F44" s="10"/>
      <c r="G44" s="9" t="str">
        <f>IF(B44="","",IFERROR(INDEX(INVENTARIO!$F:$F,MATCH(B44,INVENTARIO!$A:$A,0)),""))</f>
        <v/>
      </c>
      <c r="H44" s="19" t="str">
        <f t="shared" si="1"/>
        <v/>
      </c>
      <c r="I44" s="5"/>
    </row>
    <row r="45" spans="1:9" x14ac:dyDescent="0.25">
      <c r="A45" s="18"/>
      <c r="B45" s="5"/>
      <c r="C45" s="2" t="str">
        <f>IF(B45="","",IFERROR(INDEX(INVENTARIO!$B:$B,MATCH(B45,INVENTARIO!$A:$A,0)),"No encontrado"))</f>
        <v/>
      </c>
      <c r="D45" s="2" t="str">
        <f>IF(B45="","",IFERROR(INDEX(INVENTARIO!$C:$C,MATCH(B45,INVENTARIO!$A:$A,0)),""))</f>
        <v/>
      </c>
      <c r="E45" s="2" t="str">
        <f>IF(B45="","",IFERROR(INDEX(INVENTARIO!$D:$D,MATCH(B45,INVENTARIO!$A:$A,0)),""))</f>
        <v/>
      </c>
      <c r="F45" s="10"/>
      <c r="G45" s="9" t="str">
        <f>IF(B45="","",IFERROR(INDEX(INVENTARIO!$F:$F,MATCH(B45,INVENTARIO!$A:$A,0)),""))</f>
        <v/>
      </c>
      <c r="H45" s="19" t="str">
        <f t="shared" si="1"/>
        <v/>
      </c>
      <c r="I45" s="5"/>
    </row>
    <row r="46" spans="1:9" x14ac:dyDescent="0.25">
      <c r="A46" s="18"/>
      <c r="B46" s="5"/>
      <c r="C46" s="2" t="str">
        <f>IF(B46="","",IFERROR(INDEX(INVENTARIO!$B:$B,MATCH(B46,INVENTARIO!$A:$A,0)),"No encontrado"))</f>
        <v/>
      </c>
      <c r="D46" s="2" t="str">
        <f>IF(B46="","",IFERROR(INDEX(INVENTARIO!$C:$C,MATCH(B46,INVENTARIO!$A:$A,0)),""))</f>
        <v/>
      </c>
      <c r="E46" s="2" t="str">
        <f>IF(B46="","",IFERROR(INDEX(INVENTARIO!$D:$D,MATCH(B46,INVENTARIO!$A:$A,0)),""))</f>
        <v/>
      </c>
      <c r="F46" s="10"/>
      <c r="G46" s="9" t="str">
        <f>IF(B46="","",IFERROR(INDEX(INVENTARIO!$F:$F,MATCH(B46,INVENTARIO!$A:$A,0)),""))</f>
        <v/>
      </c>
      <c r="H46" s="19" t="str">
        <f t="shared" si="1"/>
        <v/>
      </c>
      <c r="I46" s="5"/>
    </row>
    <row r="47" spans="1:9" x14ac:dyDescent="0.25">
      <c r="A47" s="18"/>
      <c r="B47" s="5"/>
      <c r="C47" s="2" t="str">
        <f>IF(B47="","",IFERROR(INDEX(INVENTARIO!$B:$B,MATCH(B47,INVENTARIO!$A:$A,0)),"No encontrado"))</f>
        <v/>
      </c>
      <c r="D47" s="2" t="str">
        <f>IF(B47="","",IFERROR(INDEX(INVENTARIO!$C:$C,MATCH(B47,INVENTARIO!$A:$A,0)),""))</f>
        <v/>
      </c>
      <c r="E47" s="2" t="str">
        <f>IF(B47="","",IFERROR(INDEX(INVENTARIO!$D:$D,MATCH(B47,INVENTARIO!$A:$A,0)),""))</f>
        <v/>
      </c>
      <c r="F47" s="10"/>
      <c r="G47" s="9" t="str">
        <f>IF(B47="","",IFERROR(INDEX(INVENTARIO!$F:$F,MATCH(B47,INVENTARIO!$A:$A,0)),""))</f>
        <v/>
      </c>
      <c r="H47" s="19" t="str">
        <f t="shared" si="1"/>
        <v/>
      </c>
      <c r="I47" s="5"/>
    </row>
    <row r="48" spans="1:9" x14ac:dyDescent="0.25">
      <c r="A48" s="18"/>
      <c r="B48" s="5"/>
      <c r="C48" s="2" t="str">
        <f>IF(B48="","",IFERROR(INDEX(INVENTARIO!$B:$B,MATCH(B48,INVENTARIO!$A:$A,0)),"No encontrado"))</f>
        <v/>
      </c>
      <c r="D48" s="2" t="str">
        <f>IF(B48="","",IFERROR(INDEX(INVENTARIO!$C:$C,MATCH(B48,INVENTARIO!$A:$A,0)),""))</f>
        <v/>
      </c>
      <c r="E48" s="2" t="str">
        <f>IF(B48="","",IFERROR(INDEX(INVENTARIO!$D:$D,MATCH(B48,INVENTARIO!$A:$A,0)),""))</f>
        <v/>
      </c>
      <c r="F48" s="10"/>
      <c r="G48" s="9" t="str">
        <f>IF(B48="","",IFERROR(INDEX(INVENTARIO!$F:$F,MATCH(B48,INVENTARIO!$A:$A,0)),""))</f>
        <v/>
      </c>
      <c r="H48" s="19" t="str">
        <f t="shared" si="1"/>
        <v/>
      </c>
      <c r="I48" s="5"/>
    </row>
    <row r="49" spans="1:9" x14ac:dyDescent="0.25">
      <c r="A49" s="18"/>
      <c r="B49" s="5"/>
      <c r="C49" s="2" t="str">
        <f>IF(B49="","",IFERROR(INDEX(INVENTARIO!$B:$B,MATCH(B49,INVENTARIO!$A:$A,0)),"No encontrado"))</f>
        <v/>
      </c>
      <c r="D49" s="2" t="str">
        <f>IF(B49="","",IFERROR(INDEX(INVENTARIO!$C:$C,MATCH(B49,INVENTARIO!$A:$A,0)),""))</f>
        <v/>
      </c>
      <c r="E49" s="2" t="str">
        <f>IF(B49="","",IFERROR(INDEX(INVENTARIO!$D:$D,MATCH(B49,INVENTARIO!$A:$A,0)),""))</f>
        <v/>
      </c>
      <c r="F49" s="10"/>
      <c r="G49" s="9" t="str">
        <f>IF(B49="","",IFERROR(INDEX(INVENTARIO!$F:$F,MATCH(B49,INVENTARIO!$A:$A,0)),""))</f>
        <v/>
      </c>
      <c r="H49" s="19" t="str">
        <f t="shared" si="1"/>
        <v/>
      </c>
      <c r="I49" s="5"/>
    </row>
    <row r="50" spans="1:9" x14ac:dyDescent="0.25">
      <c r="A50" s="18"/>
      <c r="B50" s="5"/>
      <c r="C50" s="2" t="str">
        <f>IF(B50="","",IFERROR(INDEX(INVENTARIO!$B:$B,MATCH(B50,INVENTARIO!$A:$A,0)),"No encontrado"))</f>
        <v/>
      </c>
      <c r="D50" s="2" t="str">
        <f>IF(B50="","",IFERROR(INDEX(INVENTARIO!$C:$C,MATCH(B50,INVENTARIO!$A:$A,0)),""))</f>
        <v/>
      </c>
      <c r="E50" s="2" t="str">
        <f>IF(B50="","",IFERROR(INDEX(INVENTARIO!$D:$D,MATCH(B50,INVENTARIO!$A:$A,0)),""))</f>
        <v/>
      </c>
      <c r="F50" s="10"/>
      <c r="G50" s="9" t="str">
        <f>IF(B50="","",IFERROR(INDEX(INVENTARIO!$F:$F,MATCH(B50,INVENTARIO!$A:$A,0)),""))</f>
        <v/>
      </c>
      <c r="H50" s="19" t="str">
        <f t="shared" si="1"/>
        <v/>
      </c>
      <c r="I50" s="5"/>
    </row>
    <row r="51" spans="1:9" x14ac:dyDescent="0.25">
      <c r="A51" s="18"/>
      <c r="B51" s="5"/>
      <c r="C51" s="2" t="str">
        <f>IF(B51="","",IFERROR(INDEX(INVENTARIO!$B:$B,MATCH(B51,INVENTARIO!$A:$A,0)),"No encontrado"))</f>
        <v/>
      </c>
      <c r="D51" s="2" t="str">
        <f>IF(B51="","",IFERROR(INDEX(INVENTARIO!$C:$C,MATCH(B51,INVENTARIO!$A:$A,0)),""))</f>
        <v/>
      </c>
      <c r="E51" s="2" t="str">
        <f>IF(B51="","",IFERROR(INDEX(INVENTARIO!$D:$D,MATCH(B51,INVENTARIO!$A:$A,0)),""))</f>
        <v/>
      </c>
      <c r="F51" s="10"/>
      <c r="G51" s="9" t="str">
        <f>IF(B51="","",IFERROR(INDEX(INVENTARIO!$F:$F,MATCH(B51,INVENTARIO!$A:$A,0)),""))</f>
        <v/>
      </c>
      <c r="H51" s="19" t="str">
        <f t="shared" si="1"/>
        <v/>
      </c>
      <c r="I51" s="5"/>
    </row>
    <row r="52" spans="1:9" x14ac:dyDescent="0.25">
      <c r="A52" s="18"/>
      <c r="B52" s="5"/>
      <c r="C52" s="2" t="str">
        <f>IF(B52="","",IFERROR(INDEX(INVENTARIO!$B:$B,MATCH(B52,INVENTARIO!$A:$A,0)),"No encontrado"))</f>
        <v/>
      </c>
      <c r="D52" s="2" t="str">
        <f>IF(B52="","",IFERROR(INDEX(INVENTARIO!$C:$C,MATCH(B52,INVENTARIO!$A:$A,0)),""))</f>
        <v/>
      </c>
      <c r="E52" s="2" t="str">
        <f>IF(B52="","",IFERROR(INDEX(INVENTARIO!$D:$D,MATCH(B52,INVENTARIO!$A:$A,0)),""))</f>
        <v/>
      </c>
      <c r="F52" s="10"/>
      <c r="G52" s="9" t="str">
        <f>IF(B52="","",IFERROR(INDEX(INVENTARIO!$F:$F,MATCH(B52,INVENTARIO!$A:$A,0)),""))</f>
        <v/>
      </c>
      <c r="H52" s="19" t="str">
        <f t="shared" si="1"/>
        <v/>
      </c>
      <c r="I52" s="5"/>
    </row>
    <row r="53" spans="1:9" x14ac:dyDescent="0.25">
      <c r="A53" s="18"/>
      <c r="B53" s="5"/>
      <c r="C53" s="2" t="str">
        <f>IF(B53="","",IFERROR(INDEX(INVENTARIO!$B:$B,MATCH(B53,INVENTARIO!$A:$A,0)),"No encontrado"))</f>
        <v/>
      </c>
      <c r="D53" s="2" t="str">
        <f>IF(B53="","",IFERROR(INDEX(INVENTARIO!$C:$C,MATCH(B53,INVENTARIO!$A:$A,0)),""))</f>
        <v/>
      </c>
      <c r="E53" s="2" t="str">
        <f>IF(B53="","",IFERROR(INDEX(INVENTARIO!$D:$D,MATCH(B53,INVENTARIO!$A:$A,0)),""))</f>
        <v/>
      </c>
      <c r="F53" s="10"/>
      <c r="G53" s="9" t="str">
        <f>IF(B53="","",IFERROR(INDEX(INVENTARIO!$F:$F,MATCH(B53,INVENTARIO!$A:$A,0)),""))</f>
        <v/>
      </c>
      <c r="H53" s="19" t="str">
        <f t="shared" si="1"/>
        <v/>
      </c>
      <c r="I53" s="5"/>
    </row>
    <row r="54" spans="1:9" x14ac:dyDescent="0.25">
      <c r="A54" s="18"/>
      <c r="B54" s="5"/>
      <c r="C54" s="2" t="str">
        <f>IF(B54="","",IFERROR(INDEX(INVENTARIO!$B:$B,MATCH(B54,INVENTARIO!$A:$A,0)),"No encontrado"))</f>
        <v/>
      </c>
      <c r="D54" s="2" t="str">
        <f>IF(B54="","",IFERROR(INDEX(INVENTARIO!$C:$C,MATCH(B54,INVENTARIO!$A:$A,0)),""))</f>
        <v/>
      </c>
      <c r="E54" s="2" t="str">
        <f>IF(B54="","",IFERROR(INDEX(INVENTARIO!$D:$D,MATCH(B54,INVENTARIO!$A:$A,0)),""))</f>
        <v/>
      </c>
      <c r="F54" s="10"/>
      <c r="G54" s="9" t="str">
        <f>IF(B54="","",IFERROR(INDEX(INVENTARIO!$F:$F,MATCH(B54,INVENTARIO!$A:$A,0)),""))</f>
        <v/>
      </c>
      <c r="H54" s="19" t="str">
        <f t="shared" si="1"/>
        <v/>
      </c>
      <c r="I54" s="5"/>
    </row>
    <row r="55" spans="1:9" x14ac:dyDescent="0.25">
      <c r="A55" s="18"/>
      <c r="B55" s="5"/>
      <c r="C55" s="2" t="str">
        <f>IF(B55="","",IFERROR(INDEX(INVENTARIO!$B:$B,MATCH(B55,INVENTARIO!$A:$A,0)),"No encontrado"))</f>
        <v/>
      </c>
      <c r="D55" s="2" t="str">
        <f>IF(B55="","",IFERROR(INDEX(INVENTARIO!$C:$C,MATCH(B55,INVENTARIO!$A:$A,0)),""))</f>
        <v/>
      </c>
      <c r="E55" s="2" t="str">
        <f>IF(B55="","",IFERROR(INDEX(INVENTARIO!$D:$D,MATCH(B55,INVENTARIO!$A:$A,0)),""))</f>
        <v/>
      </c>
      <c r="F55" s="10"/>
      <c r="G55" s="9" t="str">
        <f>IF(B55="","",IFERROR(INDEX(INVENTARIO!$F:$F,MATCH(B55,INVENTARIO!$A:$A,0)),""))</f>
        <v/>
      </c>
      <c r="H55" s="19" t="str">
        <f t="shared" si="1"/>
        <v/>
      </c>
      <c r="I55" s="5"/>
    </row>
    <row r="56" spans="1:9" x14ac:dyDescent="0.25">
      <c r="A56" s="18"/>
      <c r="B56" s="5"/>
      <c r="C56" s="2" t="str">
        <f>IF(B56="","",IFERROR(INDEX(INVENTARIO!$B:$B,MATCH(B56,INVENTARIO!$A:$A,0)),"No encontrado"))</f>
        <v/>
      </c>
      <c r="D56" s="2" t="str">
        <f>IF(B56="","",IFERROR(INDEX(INVENTARIO!$C:$C,MATCH(B56,INVENTARIO!$A:$A,0)),""))</f>
        <v/>
      </c>
      <c r="E56" s="2" t="str">
        <f>IF(B56="","",IFERROR(INDEX(INVENTARIO!$D:$D,MATCH(B56,INVENTARIO!$A:$A,0)),""))</f>
        <v/>
      </c>
      <c r="F56" s="10"/>
      <c r="G56" s="9" t="str">
        <f>IF(B56="","",IFERROR(INDEX(INVENTARIO!$F:$F,MATCH(B56,INVENTARIO!$A:$A,0)),""))</f>
        <v/>
      </c>
      <c r="H56" s="19" t="str">
        <f t="shared" si="1"/>
        <v/>
      </c>
      <c r="I56" s="5"/>
    </row>
    <row r="57" spans="1:9" x14ac:dyDescent="0.25">
      <c r="A57" s="18"/>
      <c r="B57" s="5"/>
      <c r="C57" s="2" t="str">
        <f>IF(B57="","",IFERROR(INDEX(INVENTARIO!$B:$B,MATCH(B57,INVENTARIO!$A:$A,0)),"No encontrado"))</f>
        <v/>
      </c>
      <c r="D57" s="2" t="str">
        <f>IF(B57="","",IFERROR(INDEX(INVENTARIO!$C:$C,MATCH(B57,INVENTARIO!$A:$A,0)),""))</f>
        <v/>
      </c>
      <c r="E57" s="2" t="str">
        <f>IF(B57="","",IFERROR(INDEX(INVENTARIO!$D:$D,MATCH(B57,INVENTARIO!$A:$A,0)),""))</f>
        <v/>
      </c>
      <c r="F57" s="10"/>
      <c r="G57" s="9" t="str">
        <f>IF(B57="","",IFERROR(INDEX(INVENTARIO!$F:$F,MATCH(B57,INVENTARIO!$A:$A,0)),""))</f>
        <v/>
      </c>
      <c r="H57" s="19" t="str">
        <f t="shared" si="1"/>
        <v/>
      </c>
      <c r="I57" s="5"/>
    </row>
    <row r="58" spans="1:9" x14ac:dyDescent="0.25">
      <c r="A58" s="18"/>
      <c r="B58" s="5"/>
      <c r="C58" s="2" t="str">
        <f>IF(B58="","",IFERROR(INDEX(INVENTARIO!$B:$B,MATCH(B58,INVENTARIO!$A:$A,0)),"No encontrado"))</f>
        <v/>
      </c>
      <c r="D58" s="2" t="str">
        <f>IF(B58="","",IFERROR(INDEX(INVENTARIO!$C:$C,MATCH(B58,INVENTARIO!$A:$A,0)),""))</f>
        <v/>
      </c>
      <c r="E58" s="2" t="str">
        <f>IF(B58="","",IFERROR(INDEX(INVENTARIO!$D:$D,MATCH(B58,INVENTARIO!$A:$A,0)),""))</f>
        <v/>
      </c>
      <c r="F58" s="10"/>
      <c r="G58" s="9" t="str">
        <f>IF(B58="","",IFERROR(INDEX(INVENTARIO!$F:$F,MATCH(B58,INVENTARIO!$A:$A,0)),""))</f>
        <v/>
      </c>
      <c r="H58" s="19" t="str">
        <f t="shared" si="1"/>
        <v/>
      </c>
      <c r="I58" s="5"/>
    </row>
    <row r="59" spans="1:9" x14ac:dyDescent="0.25">
      <c r="A59" s="18"/>
      <c r="B59" s="5"/>
      <c r="C59" s="2" t="str">
        <f>IF(B59="","",IFERROR(INDEX(INVENTARIO!$B:$B,MATCH(B59,INVENTARIO!$A:$A,0)),"No encontrado"))</f>
        <v/>
      </c>
      <c r="D59" s="2" t="str">
        <f>IF(B59="","",IFERROR(INDEX(INVENTARIO!$C:$C,MATCH(B59,INVENTARIO!$A:$A,0)),""))</f>
        <v/>
      </c>
      <c r="E59" s="2" t="str">
        <f>IF(B59="","",IFERROR(INDEX(INVENTARIO!$D:$D,MATCH(B59,INVENTARIO!$A:$A,0)),""))</f>
        <v/>
      </c>
      <c r="F59" s="10"/>
      <c r="G59" s="9" t="str">
        <f>IF(B59="","",IFERROR(INDEX(INVENTARIO!$F:$F,MATCH(B59,INVENTARIO!$A:$A,0)),""))</f>
        <v/>
      </c>
      <c r="H59" s="19" t="str">
        <f t="shared" si="1"/>
        <v/>
      </c>
      <c r="I59" s="5"/>
    </row>
    <row r="60" spans="1:9" x14ac:dyDescent="0.25">
      <c r="A60" s="18"/>
      <c r="B60" s="5"/>
      <c r="C60" s="2" t="str">
        <f>IF(B60="","",IFERROR(INDEX(INVENTARIO!$B:$B,MATCH(B60,INVENTARIO!$A:$A,0)),"No encontrado"))</f>
        <v/>
      </c>
      <c r="D60" s="2" t="str">
        <f>IF(B60="","",IFERROR(INDEX(INVENTARIO!$C:$C,MATCH(B60,INVENTARIO!$A:$A,0)),""))</f>
        <v/>
      </c>
      <c r="E60" s="2" t="str">
        <f>IF(B60="","",IFERROR(INDEX(INVENTARIO!$D:$D,MATCH(B60,INVENTARIO!$A:$A,0)),""))</f>
        <v/>
      </c>
      <c r="F60" s="10"/>
      <c r="G60" s="9" t="str">
        <f>IF(B60="","",IFERROR(INDEX(INVENTARIO!$F:$F,MATCH(B60,INVENTARIO!$A:$A,0)),""))</f>
        <v/>
      </c>
      <c r="H60" s="19" t="str">
        <f t="shared" si="1"/>
        <v/>
      </c>
      <c r="I60" s="5"/>
    </row>
    <row r="61" spans="1:9" x14ac:dyDescent="0.25">
      <c r="A61" s="18"/>
      <c r="B61" s="5"/>
      <c r="C61" s="2" t="str">
        <f>IF(B61="","",IFERROR(INDEX(INVENTARIO!$B:$B,MATCH(B61,INVENTARIO!$A:$A,0)),"No encontrado"))</f>
        <v/>
      </c>
      <c r="D61" s="2" t="str">
        <f>IF(B61="","",IFERROR(INDEX(INVENTARIO!$C:$C,MATCH(B61,INVENTARIO!$A:$A,0)),""))</f>
        <v/>
      </c>
      <c r="E61" s="2" t="str">
        <f>IF(B61="","",IFERROR(INDEX(INVENTARIO!$D:$D,MATCH(B61,INVENTARIO!$A:$A,0)),""))</f>
        <v/>
      </c>
      <c r="F61" s="10"/>
      <c r="G61" s="9" t="str">
        <f>IF(B61="","",IFERROR(INDEX(INVENTARIO!$F:$F,MATCH(B61,INVENTARIO!$A:$A,0)),""))</f>
        <v/>
      </c>
      <c r="H61" s="19" t="str">
        <f t="shared" si="1"/>
        <v/>
      </c>
      <c r="I61" s="5"/>
    </row>
    <row r="62" spans="1:9" x14ac:dyDescent="0.25">
      <c r="A62" s="18"/>
      <c r="B62" s="5"/>
      <c r="C62" s="2" t="str">
        <f>IF(B62="","",IFERROR(INDEX(INVENTARIO!$B:$B,MATCH(B62,INVENTARIO!$A:$A,0)),"No encontrado"))</f>
        <v/>
      </c>
      <c r="D62" s="2" t="str">
        <f>IF(B62="","",IFERROR(INDEX(INVENTARIO!$C:$C,MATCH(B62,INVENTARIO!$A:$A,0)),""))</f>
        <v/>
      </c>
      <c r="E62" s="2" t="str">
        <f>IF(B62="","",IFERROR(INDEX(INVENTARIO!$D:$D,MATCH(B62,INVENTARIO!$A:$A,0)),""))</f>
        <v/>
      </c>
      <c r="F62" s="10"/>
      <c r="G62" s="9" t="str">
        <f>IF(B62="","",IFERROR(INDEX(INVENTARIO!$F:$F,MATCH(B62,INVENTARIO!$A:$A,0)),""))</f>
        <v/>
      </c>
      <c r="H62" s="19" t="str">
        <f t="shared" si="1"/>
        <v/>
      </c>
      <c r="I62" s="5"/>
    </row>
    <row r="63" spans="1:9" x14ac:dyDescent="0.25">
      <c r="A63" s="18"/>
      <c r="B63" s="5"/>
      <c r="C63" s="2" t="str">
        <f>IF(B63="","",IFERROR(INDEX(INVENTARIO!$B:$B,MATCH(B63,INVENTARIO!$A:$A,0)),"No encontrado"))</f>
        <v/>
      </c>
      <c r="D63" s="2" t="str">
        <f>IF(B63="","",IFERROR(INDEX(INVENTARIO!$C:$C,MATCH(B63,INVENTARIO!$A:$A,0)),""))</f>
        <v/>
      </c>
      <c r="E63" s="2" t="str">
        <f>IF(B63="","",IFERROR(INDEX(INVENTARIO!$D:$D,MATCH(B63,INVENTARIO!$A:$A,0)),""))</f>
        <v/>
      </c>
      <c r="F63" s="10"/>
      <c r="G63" s="9" t="str">
        <f>IF(B63="","",IFERROR(INDEX(INVENTARIO!$F:$F,MATCH(B63,INVENTARIO!$A:$A,0)),""))</f>
        <v/>
      </c>
      <c r="H63" s="19" t="str">
        <f t="shared" si="1"/>
        <v/>
      </c>
      <c r="I63" s="5"/>
    </row>
    <row r="64" spans="1:9" x14ac:dyDescent="0.25">
      <c r="A64" s="18"/>
      <c r="B64" s="5"/>
      <c r="C64" s="2" t="str">
        <f>IF(B64="","",IFERROR(INDEX(INVENTARIO!$B:$B,MATCH(B64,INVENTARIO!$A:$A,0)),"No encontrado"))</f>
        <v/>
      </c>
      <c r="D64" s="2" t="str">
        <f>IF(B64="","",IFERROR(INDEX(INVENTARIO!$C:$C,MATCH(B64,INVENTARIO!$A:$A,0)),""))</f>
        <v/>
      </c>
      <c r="E64" s="2" t="str">
        <f>IF(B64="","",IFERROR(INDEX(INVENTARIO!$D:$D,MATCH(B64,INVENTARIO!$A:$A,0)),""))</f>
        <v/>
      </c>
      <c r="F64" s="10"/>
      <c r="G64" s="9" t="str">
        <f>IF(B64="","",IFERROR(INDEX(INVENTARIO!$F:$F,MATCH(B64,INVENTARIO!$A:$A,0)),""))</f>
        <v/>
      </c>
      <c r="H64" s="19" t="str">
        <f t="shared" si="1"/>
        <v/>
      </c>
      <c r="I64" s="5"/>
    </row>
    <row r="65" spans="1:9" x14ac:dyDescent="0.25">
      <c r="A65" s="18"/>
      <c r="B65" s="5"/>
      <c r="C65" s="2" t="str">
        <f>IF(B65="","",IFERROR(INDEX(INVENTARIO!$B:$B,MATCH(B65,INVENTARIO!$A:$A,0)),"No encontrado"))</f>
        <v/>
      </c>
      <c r="D65" s="2" t="str">
        <f>IF(B65="","",IFERROR(INDEX(INVENTARIO!$C:$C,MATCH(B65,INVENTARIO!$A:$A,0)),""))</f>
        <v/>
      </c>
      <c r="E65" s="2" t="str">
        <f>IF(B65="","",IFERROR(INDEX(INVENTARIO!$D:$D,MATCH(B65,INVENTARIO!$A:$A,0)),""))</f>
        <v/>
      </c>
      <c r="F65" s="10"/>
      <c r="G65" s="9" t="str">
        <f>IF(B65="","",IFERROR(INDEX(INVENTARIO!$F:$F,MATCH(B65,INVENTARIO!$A:$A,0)),""))</f>
        <v/>
      </c>
      <c r="H65" s="19" t="str">
        <f t="shared" si="1"/>
        <v/>
      </c>
      <c r="I65" s="5"/>
    </row>
    <row r="66" spans="1:9" x14ac:dyDescent="0.25">
      <c r="A66" s="18"/>
      <c r="B66" s="5"/>
      <c r="C66" s="2" t="str">
        <f>IF(B66="","",IFERROR(INDEX(INVENTARIO!$B:$B,MATCH(B66,INVENTARIO!$A:$A,0)),"No encontrado"))</f>
        <v/>
      </c>
      <c r="D66" s="2" t="str">
        <f>IF(B66="","",IFERROR(INDEX(INVENTARIO!$C:$C,MATCH(B66,INVENTARIO!$A:$A,0)),""))</f>
        <v/>
      </c>
      <c r="E66" s="2" t="str">
        <f>IF(B66="","",IFERROR(INDEX(INVENTARIO!$D:$D,MATCH(B66,INVENTARIO!$A:$A,0)),""))</f>
        <v/>
      </c>
      <c r="F66" s="10"/>
      <c r="G66" s="9" t="str">
        <f>IF(B66="","",IFERROR(INDEX(INVENTARIO!$F:$F,MATCH(B66,INVENTARIO!$A:$A,0)),""))</f>
        <v/>
      </c>
      <c r="H66" s="19" t="str">
        <f t="shared" si="1"/>
        <v/>
      </c>
      <c r="I66" s="5"/>
    </row>
    <row r="67" spans="1:9" x14ac:dyDescent="0.25">
      <c r="A67" s="18"/>
      <c r="B67" s="5"/>
      <c r="C67" s="2" t="str">
        <f>IF(B67="","",IFERROR(INDEX(INVENTARIO!$B:$B,MATCH(B67,INVENTARIO!$A:$A,0)),"No encontrado"))</f>
        <v/>
      </c>
      <c r="D67" s="2" t="str">
        <f>IF(B67="","",IFERROR(INDEX(INVENTARIO!$C:$C,MATCH(B67,INVENTARIO!$A:$A,0)),""))</f>
        <v/>
      </c>
      <c r="E67" s="2" t="str">
        <f>IF(B67="","",IFERROR(INDEX(INVENTARIO!$D:$D,MATCH(B67,INVENTARIO!$A:$A,0)),""))</f>
        <v/>
      </c>
      <c r="F67" s="10"/>
      <c r="G67" s="9" t="str">
        <f>IF(B67="","",IFERROR(INDEX(INVENTARIO!$F:$F,MATCH(B67,INVENTARIO!$A:$A,0)),""))</f>
        <v/>
      </c>
      <c r="H67" s="19" t="str">
        <f t="shared" si="1"/>
        <v/>
      </c>
      <c r="I67" s="5"/>
    </row>
    <row r="68" spans="1:9" x14ac:dyDescent="0.25">
      <c r="A68" s="18"/>
      <c r="B68" s="5"/>
      <c r="C68" s="2" t="str">
        <f>IF(B68="","",IFERROR(INDEX(INVENTARIO!$B:$B,MATCH(B68,INVENTARIO!$A:$A,0)),"No encontrado"))</f>
        <v/>
      </c>
      <c r="D68" s="2" t="str">
        <f>IF(B68="","",IFERROR(INDEX(INVENTARIO!$C:$C,MATCH(B68,INVENTARIO!$A:$A,0)),""))</f>
        <v/>
      </c>
      <c r="E68" s="2" t="str">
        <f>IF(B68="","",IFERROR(INDEX(INVENTARIO!$D:$D,MATCH(B68,INVENTARIO!$A:$A,0)),""))</f>
        <v/>
      </c>
      <c r="F68" s="10"/>
      <c r="G68" s="9" t="str">
        <f>IF(B68="","",IFERROR(INDEX(INVENTARIO!$F:$F,MATCH(B68,INVENTARIO!$A:$A,0)),""))</f>
        <v/>
      </c>
      <c r="H68" s="19" t="str">
        <f t="shared" si="1"/>
        <v/>
      </c>
      <c r="I68" s="5"/>
    </row>
    <row r="69" spans="1:9" x14ac:dyDescent="0.25">
      <c r="A69" s="18"/>
      <c r="B69" s="5"/>
      <c r="C69" s="2" t="str">
        <f>IF(B69="","",IFERROR(INDEX(INVENTARIO!$B:$B,MATCH(B69,INVENTARIO!$A:$A,0)),"No encontrado"))</f>
        <v/>
      </c>
      <c r="D69" s="2" t="str">
        <f>IF(B69="","",IFERROR(INDEX(INVENTARIO!$C:$C,MATCH(B69,INVENTARIO!$A:$A,0)),""))</f>
        <v/>
      </c>
      <c r="E69" s="2" t="str">
        <f>IF(B69="","",IFERROR(INDEX(INVENTARIO!$D:$D,MATCH(B69,INVENTARIO!$A:$A,0)),""))</f>
        <v/>
      </c>
      <c r="F69" s="10"/>
      <c r="G69" s="9" t="str">
        <f>IF(B69="","",IFERROR(INDEX(INVENTARIO!$F:$F,MATCH(B69,INVENTARIO!$A:$A,0)),""))</f>
        <v/>
      </c>
      <c r="H69" s="19" t="str">
        <f t="shared" ref="H69:H100" si="2">IF(B69="","",G69*F69)</f>
        <v/>
      </c>
      <c r="I69" s="5"/>
    </row>
    <row r="70" spans="1:9" x14ac:dyDescent="0.25">
      <c r="A70" s="18"/>
      <c r="B70" s="5"/>
      <c r="C70" s="2" t="str">
        <f>IF(B70="","",IFERROR(INDEX(INVENTARIO!$B:$B,MATCH(B70,INVENTARIO!$A:$A,0)),"No encontrado"))</f>
        <v/>
      </c>
      <c r="D70" s="2" t="str">
        <f>IF(B70="","",IFERROR(INDEX(INVENTARIO!$C:$C,MATCH(B70,INVENTARIO!$A:$A,0)),""))</f>
        <v/>
      </c>
      <c r="E70" s="2" t="str">
        <f>IF(B70="","",IFERROR(INDEX(INVENTARIO!$D:$D,MATCH(B70,INVENTARIO!$A:$A,0)),""))</f>
        <v/>
      </c>
      <c r="F70" s="10"/>
      <c r="G70" s="9" t="str">
        <f>IF(B70="","",IFERROR(INDEX(INVENTARIO!$F:$F,MATCH(B70,INVENTARIO!$A:$A,0)),""))</f>
        <v/>
      </c>
      <c r="H70" s="19" t="str">
        <f t="shared" si="2"/>
        <v/>
      </c>
      <c r="I70" s="5"/>
    </row>
    <row r="71" spans="1:9" x14ac:dyDescent="0.25">
      <c r="A71" s="18"/>
      <c r="B71" s="5"/>
      <c r="C71" s="2" t="str">
        <f>IF(B71="","",IFERROR(INDEX(INVENTARIO!$B:$B,MATCH(B71,INVENTARIO!$A:$A,0)),"No encontrado"))</f>
        <v/>
      </c>
      <c r="D71" s="2" t="str">
        <f>IF(B71="","",IFERROR(INDEX(INVENTARIO!$C:$C,MATCH(B71,INVENTARIO!$A:$A,0)),""))</f>
        <v/>
      </c>
      <c r="E71" s="2" t="str">
        <f>IF(B71="","",IFERROR(INDEX(INVENTARIO!$D:$D,MATCH(B71,INVENTARIO!$A:$A,0)),""))</f>
        <v/>
      </c>
      <c r="F71" s="10"/>
      <c r="G71" s="9" t="str">
        <f>IF(B71="","",IFERROR(INDEX(INVENTARIO!$F:$F,MATCH(B71,INVENTARIO!$A:$A,0)),""))</f>
        <v/>
      </c>
      <c r="H71" s="19" t="str">
        <f t="shared" si="2"/>
        <v/>
      </c>
      <c r="I71" s="5"/>
    </row>
    <row r="72" spans="1:9" x14ac:dyDescent="0.25">
      <c r="A72" s="18"/>
      <c r="B72" s="5"/>
      <c r="C72" s="2" t="str">
        <f>IF(B72="","",IFERROR(INDEX(INVENTARIO!$B:$B,MATCH(B72,INVENTARIO!$A:$A,0)),"No encontrado"))</f>
        <v/>
      </c>
      <c r="D72" s="2" t="str">
        <f>IF(B72="","",IFERROR(INDEX(INVENTARIO!$C:$C,MATCH(B72,INVENTARIO!$A:$A,0)),""))</f>
        <v/>
      </c>
      <c r="E72" s="2" t="str">
        <f>IF(B72="","",IFERROR(INDEX(INVENTARIO!$D:$D,MATCH(B72,INVENTARIO!$A:$A,0)),""))</f>
        <v/>
      </c>
      <c r="F72" s="10"/>
      <c r="G72" s="9" t="str">
        <f>IF(B72="","",IFERROR(INDEX(INVENTARIO!$F:$F,MATCH(B72,INVENTARIO!$A:$A,0)),""))</f>
        <v/>
      </c>
      <c r="H72" s="19" t="str">
        <f t="shared" si="2"/>
        <v/>
      </c>
      <c r="I72" s="5"/>
    </row>
    <row r="73" spans="1:9" x14ac:dyDescent="0.25">
      <c r="A73" s="18"/>
      <c r="B73" s="5"/>
      <c r="C73" s="2" t="str">
        <f>IF(B73="","",IFERROR(INDEX(INVENTARIO!$B:$B,MATCH(B73,INVENTARIO!$A:$A,0)),"No encontrado"))</f>
        <v/>
      </c>
      <c r="D73" s="2" t="str">
        <f>IF(B73="","",IFERROR(INDEX(INVENTARIO!$C:$C,MATCH(B73,INVENTARIO!$A:$A,0)),""))</f>
        <v/>
      </c>
      <c r="E73" s="2" t="str">
        <f>IF(B73="","",IFERROR(INDEX(INVENTARIO!$D:$D,MATCH(B73,INVENTARIO!$A:$A,0)),""))</f>
        <v/>
      </c>
      <c r="F73" s="10"/>
      <c r="G73" s="9" t="str">
        <f>IF(B73="","",IFERROR(INDEX(INVENTARIO!$F:$F,MATCH(B73,INVENTARIO!$A:$A,0)),""))</f>
        <v/>
      </c>
      <c r="H73" s="19" t="str">
        <f t="shared" si="2"/>
        <v/>
      </c>
      <c r="I73" s="5"/>
    </row>
    <row r="74" spans="1:9" x14ac:dyDescent="0.25">
      <c r="A74" s="18"/>
      <c r="B74" s="5"/>
      <c r="C74" s="2" t="str">
        <f>IF(B74="","",IFERROR(INDEX(INVENTARIO!$B:$B,MATCH(B74,INVENTARIO!$A:$A,0)),"No encontrado"))</f>
        <v/>
      </c>
      <c r="D74" s="2" t="str">
        <f>IF(B74="","",IFERROR(INDEX(INVENTARIO!$C:$C,MATCH(B74,INVENTARIO!$A:$A,0)),""))</f>
        <v/>
      </c>
      <c r="E74" s="2" t="str">
        <f>IF(B74="","",IFERROR(INDEX(INVENTARIO!$D:$D,MATCH(B74,INVENTARIO!$A:$A,0)),""))</f>
        <v/>
      </c>
      <c r="F74" s="10"/>
      <c r="G74" s="9" t="str">
        <f>IF(B74="","",IFERROR(INDEX(INVENTARIO!$F:$F,MATCH(B74,INVENTARIO!$A:$A,0)),""))</f>
        <v/>
      </c>
      <c r="H74" s="19" t="str">
        <f t="shared" si="2"/>
        <v/>
      </c>
      <c r="I74" s="5"/>
    </row>
    <row r="75" spans="1:9" x14ac:dyDescent="0.25">
      <c r="A75" s="18"/>
      <c r="B75" s="5"/>
      <c r="C75" s="2" t="str">
        <f>IF(B75="","",IFERROR(INDEX(INVENTARIO!$B:$B,MATCH(B75,INVENTARIO!$A:$A,0)),"No encontrado"))</f>
        <v/>
      </c>
      <c r="D75" s="2" t="str">
        <f>IF(B75="","",IFERROR(INDEX(INVENTARIO!$C:$C,MATCH(B75,INVENTARIO!$A:$A,0)),""))</f>
        <v/>
      </c>
      <c r="E75" s="2" t="str">
        <f>IF(B75="","",IFERROR(INDEX(INVENTARIO!$D:$D,MATCH(B75,INVENTARIO!$A:$A,0)),""))</f>
        <v/>
      </c>
      <c r="F75" s="10"/>
      <c r="G75" s="9" t="str">
        <f>IF(B75="","",IFERROR(INDEX(INVENTARIO!$F:$F,MATCH(B75,INVENTARIO!$A:$A,0)),""))</f>
        <v/>
      </c>
      <c r="H75" s="19" t="str">
        <f t="shared" si="2"/>
        <v/>
      </c>
      <c r="I75" s="5"/>
    </row>
    <row r="76" spans="1:9" x14ac:dyDescent="0.25">
      <c r="A76" s="18"/>
      <c r="B76" s="5"/>
      <c r="C76" s="2" t="str">
        <f>IF(B76="","",IFERROR(INDEX(INVENTARIO!$B:$B,MATCH(B76,INVENTARIO!$A:$A,0)),"No encontrado"))</f>
        <v/>
      </c>
      <c r="D76" s="2" t="str">
        <f>IF(B76="","",IFERROR(INDEX(INVENTARIO!$C:$C,MATCH(B76,INVENTARIO!$A:$A,0)),""))</f>
        <v/>
      </c>
      <c r="E76" s="2" t="str">
        <f>IF(B76="","",IFERROR(INDEX(INVENTARIO!$D:$D,MATCH(B76,INVENTARIO!$A:$A,0)),""))</f>
        <v/>
      </c>
      <c r="F76" s="10"/>
      <c r="G76" s="9" t="str">
        <f>IF(B76="","",IFERROR(INDEX(INVENTARIO!$F:$F,MATCH(B76,INVENTARIO!$A:$A,0)),""))</f>
        <v/>
      </c>
      <c r="H76" s="19" t="str">
        <f t="shared" si="2"/>
        <v/>
      </c>
      <c r="I76" s="5"/>
    </row>
    <row r="77" spans="1:9" x14ac:dyDescent="0.25">
      <c r="A77" s="18"/>
      <c r="B77" s="5"/>
      <c r="C77" s="2" t="str">
        <f>IF(B77="","",IFERROR(INDEX(INVENTARIO!$B:$B,MATCH(B77,INVENTARIO!$A:$A,0)),"No encontrado"))</f>
        <v/>
      </c>
      <c r="D77" s="2" t="str">
        <f>IF(B77="","",IFERROR(INDEX(INVENTARIO!$C:$C,MATCH(B77,INVENTARIO!$A:$A,0)),""))</f>
        <v/>
      </c>
      <c r="E77" s="2" t="str">
        <f>IF(B77="","",IFERROR(INDEX(INVENTARIO!$D:$D,MATCH(B77,INVENTARIO!$A:$A,0)),""))</f>
        <v/>
      </c>
      <c r="F77" s="10"/>
      <c r="G77" s="9" t="str">
        <f>IF(B77="","",IFERROR(INDEX(INVENTARIO!$F:$F,MATCH(B77,INVENTARIO!$A:$A,0)),""))</f>
        <v/>
      </c>
      <c r="H77" s="19" t="str">
        <f t="shared" si="2"/>
        <v/>
      </c>
      <c r="I77" s="5"/>
    </row>
    <row r="78" spans="1:9" x14ac:dyDescent="0.25">
      <c r="A78" s="18"/>
      <c r="B78" s="5"/>
      <c r="C78" s="2" t="str">
        <f>IF(B78="","",IFERROR(INDEX(INVENTARIO!$B:$B,MATCH(B78,INVENTARIO!$A:$A,0)),"No encontrado"))</f>
        <v/>
      </c>
      <c r="D78" s="2" t="str">
        <f>IF(B78="","",IFERROR(INDEX(INVENTARIO!$C:$C,MATCH(B78,INVENTARIO!$A:$A,0)),""))</f>
        <v/>
      </c>
      <c r="E78" s="2" t="str">
        <f>IF(B78="","",IFERROR(INDEX(INVENTARIO!$D:$D,MATCH(B78,INVENTARIO!$A:$A,0)),""))</f>
        <v/>
      </c>
      <c r="F78" s="10"/>
      <c r="G78" s="9" t="str">
        <f>IF(B78="","",IFERROR(INDEX(INVENTARIO!$F:$F,MATCH(B78,INVENTARIO!$A:$A,0)),""))</f>
        <v/>
      </c>
      <c r="H78" s="19" t="str">
        <f t="shared" si="2"/>
        <v/>
      </c>
      <c r="I78" s="5"/>
    </row>
    <row r="79" spans="1:9" x14ac:dyDescent="0.25">
      <c r="A79" s="18"/>
      <c r="B79" s="5"/>
      <c r="C79" s="2" t="str">
        <f>IF(B79="","",IFERROR(INDEX(INVENTARIO!$B:$B,MATCH(B79,INVENTARIO!$A:$A,0)),"No encontrado"))</f>
        <v/>
      </c>
      <c r="D79" s="2" t="str">
        <f>IF(B79="","",IFERROR(INDEX(INVENTARIO!$C:$C,MATCH(B79,INVENTARIO!$A:$A,0)),""))</f>
        <v/>
      </c>
      <c r="E79" s="2" t="str">
        <f>IF(B79="","",IFERROR(INDEX(INVENTARIO!$D:$D,MATCH(B79,INVENTARIO!$A:$A,0)),""))</f>
        <v/>
      </c>
      <c r="F79" s="10"/>
      <c r="G79" s="9" t="str">
        <f>IF(B79="","",IFERROR(INDEX(INVENTARIO!$F:$F,MATCH(B79,INVENTARIO!$A:$A,0)),""))</f>
        <v/>
      </c>
      <c r="H79" s="19" t="str">
        <f t="shared" si="2"/>
        <v/>
      </c>
      <c r="I79" s="5"/>
    </row>
    <row r="80" spans="1:9" x14ac:dyDescent="0.25">
      <c r="A80" s="18"/>
      <c r="B80" s="5"/>
      <c r="C80" s="2" t="str">
        <f>IF(B80="","",IFERROR(INDEX(INVENTARIO!$B:$B,MATCH(B80,INVENTARIO!$A:$A,0)),"No encontrado"))</f>
        <v/>
      </c>
      <c r="D80" s="2" t="str">
        <f>IF(B80="","",IFERROR(INDEX(INVENTARIO!$C:$C,MATCH(B80,INVENTARIO!$A:$A,0)),""))</f>
        <v/>
      </c>
      <c r="E80" s="2" t="str">
        <f>IF(B80="","",IFERROR(INDEX(INVENTARIO!$D:$D,MATCH(B80,INVENTARIO!$A:$A,0)),""))</f>
        <v/>
      </c>
      <c r="F80" s="10"/>
      <c r="G80" s="9" t="str">
        <f>IF(B80="","",IFERROR(INDEX(INVENTARIO!$F:$F,MATCH(B80,INVENTARIO!$A:$A,0)),""))</f>
        <v/>
      </c>
      <c r="H80" s="19" t="str">
        <f t="shared" si="2"/>
        <v/>
      </c>
      <c r="I80" s="5"/>
    </row>
    <row r="81" spans="1:9" x14ac:dyDescent="0.25">
      <c r="A81" s="18"/>
      <c r="B81" s="5"/>
      <c r="C81" s="2" t="str">
        <f>IF(B81="","",IFERROR(INDEX(INVENTARIO!$B:$B,MATCH(B81,INVENTARIO!$A:$A,0)),"No encontrado"))</f>
        <v/>
      </c>
      <c r="D81" s="2" t="str">
        <f>IF(B81="","",IFERROR(INDEX(INVENTARIO!$C:$C,MATCH(B81,INVENTARIO!$A:$A,0)),""))</f>
        <v/>
      </c>
      <c r="E81" s="2" t="str">
        <f>IF(B81="","",IFERROR(INDEX(INVENTARIO!$D:$D,MATCH(B81,INVENTARIO!$A:$A,0)),""))</f>
        <v/>
      </c>
      <c r="F81" s="10"/>
      <c r="G81" s="9" t="str">
        <f>IF(B81="","",IFERROR(INDEX(INVENTARIO!$F:$F,MATCH(B81,INVENTARIO!$A:$A,0)),""))</f>
        <v/>
      </c>
      <c r="H81" s="19" t="str">
        <f t="shared" si="2"/>
        <v/>
      </c>
      <c r="I81" s="5"/>
    </row>
    <row r="82" spans="1:9" x14ac:dyDescent="0.25">
      <c r="A82" s="18"/>
      <c r="B82" s="5"/>
      <c r="C82" s="2" t="str">
        <f>IF(B82="","",IFERROR(INDEX(INVENTARIO!$B:$B,MATCH(B82,INVENTARIO!$A:$A,0)),"No encontrado"))</f>
        <v/>
      </c>
      <c r="D82" s="2" t="str">
        <f>IF(B82="","",IFERROR(INDEX(INVENTARIO!$C:$C,MATCH(B82,INVENTARIO!$A:$A,0)),""))</f>
        <v/>
      </c>
      <c r="E82" s="2" t="str">
        <f>IF(B82="","",IFERROR(INDEX(INVENTARIO!$D:$D,MATCH(B82,INVENTARIO!$A:$A,0)),""))</f>
        <v/>
      </c>
      <c r="F82" s="10"/>
      <c r="G82" s="9" t="str">
        <f>IF(B82="","",IFERROR(INDEX(INVENTARIO!$F:$F,MATCH(B82,INVENTARIO!$A:$A,0)),""))</f>
        <v/>
      </c>
      <c r="H82" s="19" t="str">
        <f t="shared" si="2"/>
        <v/>
      </c>
      <c r="I82" s="5"/>
    </row>
    <row r="83" spans="1:9" x14ac:dyDescent="0.25">
      <c r="A83" s="18"/>
      <c r="B83" s="5"/>
      <c r="C83" s="2" t="str">
        <f>IF(B83="","",IFERROR(INDEX(INVENTARIO!$B:$B,MATCH(B83,INVENTARIO!$A:$A,0)),"No encontrado"))</f>
        <v/>
      </c>
      <c r="D83" s="2" t="str">
        <f>IF(B83="","",IFERROR(INDEX(INVENTARIO!$C:$C,MATCH(B83,INVENTARIO!$A:$A,0)),""))</f>
        <v/>
      </c>
      <c r="E83" s="2" t="str">
        <f>IF(B83="","",IFERROR(INDEX(INVENTARIO!$D:$D,MATCH(B83,INVENTARIO!$A:$A,0)),""))</f>
        <v/>
      </c>
      <c r="F83" s="10"/>
      <c r="G83" s="9" t="str">
        <f>IF(B83="","",IFERROR(INDEX(INVENTARIO!$F:$F,MATCH(B83,INVENTARIO!$A:$A,0)),""))</f>
        <v/>
      </c>
      <c r="H83" s="19" t="str">
        <f t="shared" si="2"/>
        <v/>
      </c>
      <c r="I83" s="5"/>
    </row>
    <row r="84" spans="1:9" x14ac:dyDescent="0.25">
      <c r="A84" s="18"/>
      <c r="B84" s="5"/>
      <c r="C84" s="2" t="str">
        <f>IF(B84="","",IFERROR(INDEX(INVENTARIO!$B:$B,MATCH(B84,INVENTARIO!$A:$A,0)),"No encontrado"))</f>
        <v/>
      </c>
      <c r="D84" s="2" t="str">
        <f>IF(B84="","",IFERROR(INDEX(INVENTARIO!$C:$C,MATCH(B84,INVENTARIO!$A:$A,0)),""))</f>
        <v/>
      </c>
      <c r="E84" s="2" t="str">
        <f>IF(B84="","",IFERROR(INDEX(INVENTARIO!$D:$D,MATCH(B84,INVENTARIO!$A:$A,0)),""))</f>
        <v/>
      </c>
      <c r="F84" s="10"/>
      <c r="G84" s="9" t="str">
        <f>IF(B84="","",IFERROR(INDEX(INVENTARIO!$F:$F,MATCH(B84,INVENTARIO!$A:$A,0)),""))</f>
        <v/>
      </c>
      <c r="H84" s="19" t="str">
        <f t="shared" si="2"/>
        <v/>
      </c>
      <c r="I84" s="5"/>
    </row>
    <row r="85" spans="1:9" x14ac:dyDescent="0.25">
      <c r="A85" s="18"/>
      <c r="B85" s="5"/>
      <c r="C85" s="2" t="str">
        <f>IF(B85="","",IFERROR(INDEX(INVENTARIO!$B:$B,MATCH(B85,INVENTARIO!$A:$A,0)),"No encontrado"))</f>
        <v/>
      </c>
      <c r="D85" s="2" t="str">
        <f>IF(B85="","",IFERROR(INDEX(INVENTARIO!$C:$C,MATCH(B85,INVENTARIO!$A:$A,0)),""))</f>
        <v/>
      </c>
      <c r="E85" s="2" t="str">
        <f>IF(B85="","",IFERROR(INDEX(INVENTARIO!$D:$D,MATCH(B85,INVENTARIO!$A:$A,0)),""))</f>
        <v/>
      </c>
      <c r="F85" s="10"/>
      <c r="G85" s="9" t="str">
        <f>IF(B85="","",IFERROR(INDEX(INVENTARIO!$F:$F,MATCH(B85,INVENTARIO!$A:$A,0)),""))</f>
        <v/>
      </c>
      <c r="H85" s="19" t="str">
        <f t="shared" si="2"/>
        <v/>
      </c>
      <c r="I85" s="5"/>
    </row>
    <row r="86" spans="1:9" x14ac:dyDescent="0.25">
      <c r="A86" s="18"/>
      <c r="B86" s="5"/>
      <c r="C86" s="2" t="str">
        <f>IF(B86="","",IFERROR(INDEX(INVENTARIO!$B:$B,MATCH(B86,INVENTARIO!$A:$A,0)),"No encontrado"))</f>
        <v/>
      </c>
      <c r="D86" s="2" t="str">
        <f>IF(B86="","",IFERROR(INDEX(INVENTARIO!$C:$C,MATCH(B86,INVENTARIO!$A:$A,0)),""))</f>
        <v/>
      </c>
      <c r="E86" s="2" t="str">
        <f>IF(B86="","",IFERROR(INDEX(INVENTARIO!$D:$D,MATCH(B86,INVENTARIO!$A:$A,0)),""))</f>
        <v/>
      </c>
      <c r="F86" s="10"/>
      <c r="G86" s="9" t="str">
        <f>IF(B86="","",IFERROR(INDEX(INVENTARIO!$F:$F,MATCH(B86,INVENTARIO!$A:$A,0)),""))</f>
        <v/>
      </c>
      <c r="H86" s="19" t="str">
        <f t="shared" si="2"/>
        <v/>
      </c>
      <c r="I86" s="5"/>
    </row>
    <row r="87" spans="1:9" x14ac:dyDescent="0.25">
      <c r="A87" s="18"/>
      <c r="B87" s="5"/>
      <c r="C87" s="2" t="str">
        <f>IF(B87="","",IFERROR(INDEX(INVENTARIO!$B:$B,MATCH(B87,INVENTARIO!$A:$A,0)),"No encontrado"))</f>
        <v/>
      </c>
      <c r="D87" s="2" t="str">
        <f>IF(B87="","",IFERROR(INDEX(INVENTARIO!$C:$C,MATCH(B87,INVENTARIO!$A:$A,0)),""))</f>
        <v/>
      </c>
      <c r="E87" s="2" t="str">
        <f>IF(B87="","",IFERROR(INDEX(INVENTARIO!$D:$D,MATCH(B87,INVENTARIO!$A:$A,0)),""))</f>
        <v/>
      </c>
      <c r="F87" s="10"/>
      <c r="G87" s="9" t="str">
        <f>IF(B87="","",IFERROR(INDEX(INVENTARIO!$F:$F,MATCH(B87,INVENTARIO!$A:$A,0)),""))</f>
        <v/>
      </c>
      <c r="H87" s="19" t="str">
        <f t="shared" si="2"/>
        <v/>
      </c>
      <c r="I87" s="5"/>
    </row>
    <row r="88" spans="1:9" x14ac:dyDescent="0.25">
      <c r="A88" s="18"/>
      <c r="B88" s="5"/>
      <c r="C88" s="2" t="str">
        <f>IF(B88="","",IFERROR(INDEX(INVENTARIO!$B:$B,MATCH(B88,INVENTARIO!$A:$A,0)),"No encontrado"))</f>
        <v/>
      </c>
      <c r="D88" s="2" t="str">
        <f>IF(B88="","",IFERROR(INDEX(INVENTARIO!$C:$C,MATCH(B88,INVENTARIO!$A:$A,0)),""))</f>
        <v/>
      </c>
      <c r="E88" s="2" t="str">
        <f>IF(B88="","",IFERROR(INDEX(INVENTARIO!$D:$D,MATCH(B88,INVENTARIO!$A:$A,0)),""))</f>
        <v/>
      </c>
      <c r="F88" s="10"/>
      <c r="G88" s="9" t="str">
        <f>IF(B88="","",IFERROR(INDEX(INVENTARIO!$F:$F,MATCH(B88,INVENTARIO!$A:$A,0)),""))</f>
        <v/>
      </c>
      <c r="H88" s="19" t="str">
        <f t="shared" si="2"/>
        <v/>
      </c>
      <c r="I88" s="5"/>
    </row>
    <row r="89" spans="1:9" x14ac:dyDescent="0.25">
      <c r="A89" s="18"/>
      <c r="B89" s="5"/>
      <c r="C89" s="2" t="str">
        <f>IF(B89="","",IFERROR(INDEX(INVENTARIO!$B:$B,MATCH(B89,INVENTARIO!$A:$A,0)),"No encontrado"))</f>
        <v/>
      </c>
      <c r="D89" s="2" t="str">
        <f>IF(B89="","",IFERROR(INDEX(INVENTARIO!$C:$C,MATCH(B89,INVENTARIO!$A:$A,0)),""))</f>
        <v/>
      </c>
      <c r="E89" s="2" t="str">
        <f>IF(B89="","",IFERROR(INDEX(INVENTARIO!$D:$D,MATCH(B89,INVENTARIO!$A:$A,0)),""))</f>
        <v/>
      </c>
      <c r="F89" s="10"/>
      <c r="G89" s="9" t="str">
        <f>IF(B89="","",IFERROR(INDEX(INVENTARIO!$F:$F,MATCH(B89,INVENTARIO!$A:$A,0)),""))</f>
        <v/>
      </c>
      <c r="H89" s="19" t="str">
        <f t="shared" si="2"/>
        <v/>
      </c>
      <c r="I89" s="5"/>
    </row>
    <row r="90" spans="1:9" x14ac:dyDescent="0.25">
      <c r="A90" s="18"/>
      <c r="B90" s="5"/>
      <c r="C90" s="2" t="str">
        <f>IF(B90="","",IFERROR(INDEX(INVENTARIO!$B:$B,MATCH(B90,INVENTARIO!$A:$A,0)),"No encontrado"))</f>
        <v/>
      </c>
      <c r="D90" s="2" t="str">
        <f>IF(B90="","",IFERROR(INDEX(INVENTARIO!$C:$C,MATCH(B90,INVENTARIO!$A:$A,0)),""))</f>
        <v/>
      </c>
      <c r="E90" s="2" t="str">
        <f>IF(B90="","",IFERROR(INDEX(INVENTARIO!$D:$D,MATCH(B90,INVENTARIO!$A:$A,0)),""))</f>
        <v/>
      </c>
      <c r="F90" s="10"/>
      <c r="G90" s="9" t="str">
        <f>IF(B90="","",IFERROR(INDEX(INVENTARIO!$F:$F,MATCH(B90,INVENTARIO!$A:$A,0)),""))</f>
        <v/>
      </c>
      <c r="H90" s="19" t="str">
        <f t="shared" si="2"/>
        <v/>
      </c>
      <c r="I90" s="5"/>
    </row>
    <row r="91" spans="1:9" x14ac:dyDescent="0.25">
      <c r="A91" s="18"/>
      <c r="B91" s="5"/>
      <c r="C91" s="2" t="str">
        <f>IF(B91="","",IFERROR(INDEX(INVENTARIO!$B:$B,MATCH(B91,INVENTARIO!$A:$A,0)),"No encontrado"))</f>
        <v/>
      </c>
      <c r="D91" s="2" t="str">
        <f>IF(B91="","",IFERROR(INDEX(INVENTARIO!$C:$C,MATCH(B91,INVENTARIO!$A:$A,0)),""))</f>
        <v/>
      </c>
      <c r="E91" s="2" t="str">
        <f>IF(B91="","",IFERROR(INDEX(INVENTARIO!$D:$D,MATCH(B91,INVENTARIO!$A:$A,0)),""))</f>
        <v/>
      </c>
      <c r="F91" s="10"/>
      <c r="G91" s="9" t="str">
        <f>IF(B91="","",IFERROR(INDEX(INVENTARIO!$F:$F,MATCH(B91,INVENTARIO!$A:$A,0)),""))</f>
        <v/>
      </c>
      <c r="H91" s="19" t="str">
        <f t="shared" si="2"/>
        <v/>
      </c>
      <c r="I91" s="5"/>
    </row>
    <row r="92" spans="1:9" x14ac:dyDescent="0.25">
      <c r="A92" s="18"/>
      <c r="B92" s="5"/>
      <c r="C92" s="2" t="str">
        <f>IF(B92="","",IFERROR(INDEX(INVENTARIO!$B:$B,MATCH(B92,INVENTARIO!$A:$A,0)),"No encontrado"))</f>
        <v/>
      </c>
      <c r="D92" s="2" t="str">
        <f>IF(B92="","",IFERROR(INDEX(INVENTARIO!$C:$C,MATCH(B92,INVENTARIO!$A:$A,0)),""))</f>
        <v/>
      </c>
      <c r="E92" s="2" t="str">
        <f>IF(B92="","",IFERROR(INDEX(INVENTARIO!$D:$D,MATCH(B92,INVENTARIO!$A:$A,0)),""))</f>
        <v/>
      </c>
      <c r="F92" s="10"/>
      <c r="G92" s="9" t="str">
        <f>IF(B92="","",IFERROR(INDEX(INVENTARIO!$F:$F,MATCH(B92,INVENTARIO!$A:$A,0)),""))</f>
        <v/>
      </c>
      <c r="H92" s="19" t="str">
        <f t="shared" si="2"/>
        <v/>
      </c>
      <c r="I92" s="5"/>
    </row>
    <row r="93" spans="1:9" x14ac:dyDescent="0.25">
      <c r="A93" s="18"/>
      <c r="B93" s="5"/>
      <c r="C93" s="2" t="str">
        <f>IF(B93="","",IFERROR(INDEX(INVENTARIO!$B:$B,MATCH(B93,INVENTARIO!$A:$A,0)),"No encontrado"))</f>
        <v/>
      </c>
      <c r="D93" s="2" t="str">
        <f>IF(B93="","",IFERROR(INDEX(INVENTARIO!$C:$C,MATCH(B93,INVENTARIO!$A:$A,0)),""))</f>
        <v/>
      </c>
      <c r="E93" s="2" t="str">
        <f>IF(B93="","",IFERROR(INDEX(INVENTARIO!$D:$D,MATCH(B93,INVENTARIO!$A:$A,0)),""))</f>
        <v/>
      </c>
      <c r="F93" s="10"/>
      <c r="G93" s="9" t="str">
        <f>IF(B93="","",IFERROR(INDEX(INVENTARIO!$F:$F,MATCH(B93,INVENTARIO!$A:$A,0)),""))</f>
        <v/>
      </c>
      <c r="H93" s="19" t="str">
        <f t="shared" si="2"/>
        <v/>
      </c>
      <c r="I93" s="5"/>
    </row>
    <row r="94" spans="1:9" x14ac:dyDescent="0.25">
      <c r="A94" s="18"/>
      <c r="B94" s="5"/>
      <c r="C94" s="2" t="str">
        <f>IF(B94="","",IFERROR(INDEX(INVENTARIO!$B:$B,MATCH(B94,INVENTARIO!$A:$A,0)),"No encontrado"))</f>
        <v/>
      </c>
      <c r="D94" s="2" t="str">
        <f>IF(B94="","",IFERROR(INDEX(INVENTARIO!$C:$C,MATCH(B94,INVENTARIO!$A:$A,0)),""))</f>
        <v/>
      </c>
      <c r="E94" s="2" t="str">
        <f>IF(B94="","",IFERROR(INDEX(INVENTARIO!$D:$D,MATCH(B94,INVENTARIO!$A:$A,0)),""))</f>
        <v/>
      </c>
      <c r="F94" s="10"/>
      <c r="G94" s="9" t="str">
        <f>IF(B94="","",IFERROR(INDEX(INVENTARIO!$F:$F,MATCH(B94,INVENTARIO!$A:$A,0)),""))</f>
        <v/>
      </c>
      <c r="H94" s="19" t="str">
        <f t="shared" si="2"/>
        <v/>
      </c>
      <c r="I94" s="5"/>
    </row>
    <row r="95" spans="1:9" x14ac:dyDescent="0.25">
      <c r="A95" s="18"/>
      <c r="B95" s="5"/>
      <c r="C95" s="2" t="str">
        <f>IF(B95="","",IFERROR(INDEX(INVENTARIO!$B:$B,MATCH(B95,INVENTARIO!$A:$A,0)),"No encontrado"))</f>
        <v/>
      </c>
      <c r="D95" s="2" t="str">
        <f>IF(B95="","",IFERROR(INDEX(INVENTARIO!$C:$C,MATCH(B95,INVENTARIO!$A:$A,0)),""))</f>
        <v/>
      </c>
      <c r="E95" s="2" t="str">
        <f>IF(B95="","",IFERROR(INDEX(INVENTARIO!$D:$D,MATCH(B95,INVENTARIO!$A:$A,0)),""))</f>
        <v/>
      </c>
      <c r="F95" s="10"/>
      <c r="G95" s="9" t="str">
        <f>IF(B95="","",IFERROR(INDEX(INVENTARIO!$F:$F,MATCH(B95,INVENTARIO!$A:$A,0)),""))</f>
        <v/>
      </c>
      <c r="H95" s="19" t="str">
        <f t="shared" si="2"/>
        <v/>
      </c>
      <c r="I95" s="5"/>
    </row>
    <row r="96" spans="1:9" x14ac:dyDescent="0.25">
      <c r="A96" s="18"/>
      <c r="B96" s="5"/>
      <c r="C96" s="2" t="str">
        <f>IF(B96="","",IFERROR(INDEX(INVENTARIO!$B:$B,MATCH(B96,INVENTARIO!$A:$A,0)),"No encontrado"))</f>
        <v/>
      </c>
      <c r="D96" s="2" t="str">
        <f>IF(B96="","",IFERROR(INDEX(INVENTARIO!$C:$C,MATCH(B96,INVENTARIO!$A:$A,0)),""))</f>
        <v/>
      </c>
      <c r="E96" s="2" t="str">
        <f>IF(B96="","",IFERROR(INDEX(INVENTARIO!$D:$D,MATCH(B96,INVENTARIO!$A:$A,0)),""))</f>
        <v/>
      </c>
      <c r="F96" s="10"/>
      <c r="G96" s="9" t="str">
        <f>IF(B96="","",IFERROR(INDEX(INVENTARIO!$F:$F,MATCH(B96,INVENTARIO!$A:$A,0)),""))</f>
        <v/>
      </c>
      <c r="H96" s="19" t="str">
        <f t="shared" si="2"/>
        <v/>
      </c>
      <c r="I96" s="5"/>
    </row>
    <row r="97" spans="1:9" x14ac:dyDescent="0.25">
      <c r="A97" s="18"/>
      <c r="B97" s="5"/>
      <c r="C97" s="2" t="str">
        <f>IF(B97="","",IFERROR(INDEX(INVENTARIO!$B:$B,MATCH(B97,INVENTARIO!$A:$A,0)),"No encontrado"))</f>
        <v/>
      </c>
      <c r="D97" s="2" t="str">
        <f>IF(B97="","",IFERROR(INDEX(INVENTARIO!$C:$C,MATCH(B97,INVENTARIO!$A:$A,0)),""))</f>
        <v/>
      </c>
      <c r="E97" s="2" t="str">
        <f>IF(B97="","",IFERROR(INDEX(INVENTARIO!$D:$D,MATCH(B97,INVENTARIO!$A:$A,0)),""))</f>
        <v/>
      </c>
      <c r="F97" s="10"/>
      <c r="G97" s="9" t="str">
        <f>IF(B97="","",IFERROR(INDEX(INVENTARIO!$F:$F,MATCH(B97,INVENTARIO!$A:$A,0)),""))</f>
        <v/>
      </c>
      <c r="H97" s="19" t="str">
        <f t="shared" si="2"/>
        <v/>
      </c>
      <c r="I97" s="5"/>
    </row>
    <row r="98" spans="1:9" x14ac:dyDescent="0.25">
      <c r="A98" s="18"/>
      <c r="B98" s="5"/>
      <c r="C98" s="2" t="str">
        <f>IF(B98="","",IFERROR(INDEX(INVENTARIO!$B:$B,MATCH(B98,INVENTARIO!$A:$A,0)),"No encontrado"))</f>
        <v/>
      </c>
      <c r="D98" s="2" t="str">
        <f>IF(B98="","",IFERROR(INDEX(INVENTARIO!$C:$C,MATCH(B98,INVENTARIO!$A:$A,0)),""))</f>
        <v/>
      </c>
      <c r="E98" s="2" t="str">
        <f>IF(B98="","",IFERROR(INDEX(INVENTARIO!$D:$D,MATCH(B98,INVENTARIO!$A:$A,0)),""))</f>
        <v/>
      </c>
      <c r="F98" s="10"/>
      <c r="G98" s="9" t="str">
        <f>IF(B98="","",IFERROR(INDEX(INVENTARIO!$F:$F,MATCH(B98,INVENTARIO!$A:$A,0)),""))</f>
        <v/>
      </c>
      <c r="H98" s="19" t="str">
        <f t="shared" si="2"/>
        <v/>
      </c>
      <c r="I98" s="5"/>
    </row>
    <row r="99" spans="1:9" x14ac:dyDescent="0.25">
      <c r="A99" s="18"/>
      <c r="B99" s="5"/>
      <c r="C99" s="2" t="str">
        <f>IF(B99="","",IFERROR(INDEX(INVENTARIO!$B:$B,MATCH(B99,INVENTARIO!$A:$A,0)),"No encontrado"))</f>
        <v/>
      </c>
      <c r="D99" s="2" t="str">
        <f>IF(B99="","",IFERROR(INDEX(INVENTARIO!$C:$C,MATCH(B99,INVENTARIO!$A:$A,0)),""))</f>
        <v/>
      </c>
      <c r="E99" s="2" t="str">
        <f>IF(B99="","",IFERROR(INDEX(INVENTARIO!$D:$D,MATCH(B99,INVENTARIO!$A:$A,0)),""))</f>
        <v/>
      </c>
      <c r="F99" s="10"/>
      <c r="G99" s="9" t="str">
        <f>IF(B99="","",IFERROR(INDEX(INVENTARIO!$F:$F,MATCH(B99,INVENTARIO!$A:$A,0)),""))</f>
        <v/>
      </c>
      <c r="H99" s="19" t="str">
        <f t="shared" si="2"/>
        <v/>
      </c>
      <c r="I99" s="5"/>
    </row>
    <row r="100" spans="1:9" x14ac:dyDescent="0.25">
      <c r="A100" s="18"/>
      <c r="B100" s="5"/>
      <c r="C100" s="2" t="str">
        <f>IF(B100="","",IFERROR(INDEX(INVENTARIO!$B:$B,MATCH(B100,INVENTARIO!$A:$A,0)),"No encontrado"))</f>
        <v/>
      </c>
      <c r="D100" s="2" t="str">
        <f>IF(B100="","",IFERROR(INDEX(INVENTARIO!$C:$C,MATCH(B100,INVENTARIO!$A:$A,0)),""))</f>
        <v/>
      </c>
      <c r="E100" s="2" t="str">
        <f>IF(B100="","",IFERROR(INDEX(INVENTARIO!$D:$D,MATCH(B100,INVENTARIO!$A:$A,0)),""))</f>
        <v/>
      </c>
      <c r="F100" s="10"/>
      <c r="G100" s="9" t="str">
        <f>IF(B100="","",IFERROR(INDEX(INVENTARIO!$F:$F,MATCH(B100,INVENTARIO!$A:$A,0)),""))</f>
        <v/>
      </c>
      <c r="H100" s="19" t="str">
        <f t="shared" si="2"/>
        <v/>
      </c>
      <c r="I100" s="5"/>
    </row>
    <row r="101" spans="1:9" x14ac:dyDescent="0.25">
      <c r="A101" s="18"/>
      <c r="B101" s="5"/>
      <c r="C101" s="2" t="str">
        <f>IF(B101="","",IFERROR(INDEX(INVENTARIO!$B:$B,MATCH(B101,INVENTARIO!$A:$A,0)),"No encontrado"))</f>
        <v/>
      </c>
      <c r="D101" s="2" t="str">
        <f>IF(B101="","",IFERROR(INDEX(INVENTARIO!$C:$C,MATCH(B101,INVENTARIO!$A:$A,0)),""))</f>
        <v/>
      </c>
      <c r="E101" s="2" t="str">
        <f>IF(B101="","",IFERROR(INDEX(INVENTARIO!$D:$D,MATCH(B101,INVENTARIO!$A:$A,0)),""))</f>
        <v/>
      </c>
      <c r="F101" s="10"/>
      <c r="G101" s="9" t="str">
        <f>IF(B101="","",IFERROR(INDEX(INVENTARIO!$F:$F,MATCH(B101,INVENTARIO!$A:$A,0)),""))</f>
        <v/>
      </c>
      <c r="H101" s="19" t="str">
        <f t="shared" ref="H101:H132" si="3">IF(B101="","",G101*F101)</f>
        <v/>
      </c>
      <c r="I101" s="5"/>
    </row>
    <row r="102" spans="1:9" x14ac:dyDescent="0.25">
      <c r="A102" s="18"/>
      <c r="B102" s="5"/>
      <c r="C102" s="2" t="str">
        <f>IF(B102="","",IFERROR(INDEX(INVENTARIO!$B:$B,MATCH(B102,INVENTARIO!$A:$A,0)),"No encontrado"))</f>
        <v/>
      </c>
      <c r="D102" s="2" t="str">
        <f>IF(B102="","",IFERROR(INDEX(INVENTARIO!$C:$C,MATCH(B102,INVENTARIO!$A:$A,0)),""))</f>
        <v/>
      </c>
      <c r="E102" s="2" t="str">
        <f>IF(B102="","",IFERROR(INDEX(INVENTARIO!$D:$D,MATCH(B102,INVENTARIO!$A:$A,0)),""))</f>
        <v/>
      </c>
      <c r="F102" s="10"/>
      <c r="G102" s="9" t="str">
        <f>IF(B102="","",IFERROR(INDEX(INVENTARIO!$F:$F,MATCH(B102,INVENTARIO!$A:$A,0)),""))</f>
        <v/>
      </c>
      <c r="H102" s="19" t="str">
        <f t="shared" si="3"/>
        <v/>
      </c>
      <c r="I102" s="5"/>
    </row>
    <row r="103" spans="1:9" x14ac:dyDescent="0.25">
      <c r="A103" s="18"/>
      <c r="B103" s="5"/>
      <c r="C103" s="2" t="str">
        <f>IF(B103="","",IFERROR(INDEX(INVENTARIO!$B:$B,MATCH(B103,INVENTARIO!$A:$A,0)),"No encontrado"))</f>
        <v/>
      </c>
      <c r="D103" s="2" t="str">
        <f>IF(B103="","",IFERROR(INDEX(INVENTARIO!$C:$C,MATCH(B103,INVENTARIO!$A:$A,0)),""))</f>
        <v/>
      </c>
      <c r="E103" s="2" t="str">
        <f>IF(B103="","",IFERROR(INDEX(INVENTARIO!$D:$D,MATCH(B103,INVENTARIO!$A:$A,0)),""))</f>
        <v/>
      </c>
      <c r="F103" s="10"/>
      <c r="G103" s="9" t="str">
        <f>IF(B103="","",IFERROR(INDEX(INVENTARIO!$F:$F,MATCH(B103,INVENTARIO!$A:$A,0)),""))</f>
        <v/>
      </c>
      <c r="H103" s="19" t="str">
        <f t="shared" si="3"/>
        <v/>
      </c>
      <c r="I103" s="5"/>
    </row>
    <row r="104" spans="1:9" x14ac:dyDescent="0.25">
      <c r="A104" s="18"/>
      <c r="B104" s="5"/>
      <c r="C104" s="2" t="str">
        <f>IF(B104="","",IFERROR(INDEX(INVENTARIO!$B:$B,MATCH(B104,INVENTARIO!$A:$A,0)),"No encontrado"))</f>
        <v/>
      </c>
      <c r="D104" s="2" t="str">
        <f>IF(B104="","",IFERROR(INDEX(INVENTARIO!$C:$C,MATCH(B104,INVENTARIO!$A:$A,0)),""))</f>
        <v/>
      </c>
      <c r="E104" s="2" t="str">
        <f>IF(B104="","",IFERROR(INDEX(INVENTARIO!$D:$D,MATCH(B104,INVENTARIO!$A:$A,0)),""))</f>
        <v/>
      </c>
      <c r="F104" s="10"/>
      <c r="G104" s="9" t="str">
        <f>IF(B104="","",IFERROR(INDEX(INVENTARIO!$F:$F,MATCH(B104,INVENTARIO!$A:$A,0)),""))</f>
        <v/>
      </c>
      <c r="H104" s="19" t="str">
        <f t="shared" si="3"/>
        <v/>
      </c>
      <c r="I104" s="5"/>
    </row>
    <row r="105" spans="1:9" x14ac:dyDescent="0.25">
      <c r="A105" s="18"/>
      <c r="B105" s="5"/>
      <c r="C105" s="2" t="str">
        <f>IF(B105="","",IFERROR(INDEX(INVENTARIO!$B:$B,MATCH(B105,INVENTARIO!$A:$A,0)),"No encontrado"))</f>
        <v/>
      </c>
      <c r="D105" s="2" t="str">
        <f>IF(B105="","",IFERROR(INDEX(INVENTARIO!$C:$C,MATCH(B105,INVENTARIO!$A:$A,0)),""))</f>
        <v/>
      </c>
      <c r="E105" s="2" t="str">
        <f>IF(B105="","",IFERROR(INDEX(INVENTARIO!$D:$D,MATCH(B105,INVENTARIO!$A:$A,0)),""))</f>
        <v/>
      </c>
      <c r="F105" s="10"/>
      <c r="G105" s="9" t="str">
        <f>IF(B105="","",IFERROR(INDEX(INVENTARIO!$F:$F,MATCH(B105,INVENTARIO!$A:$A,0)),""))</f>
        <v/>
      </c>
      <c r="H105" s="19" t="str">
        <f t="shared" si="3"/>
        <v/>
      </c>
      <c r="I105" s="5"/>
    </row>
    <row r="106" spans="1:9" x14ac:dyDescent="0.25">
      <c r="A106" s="18"/>
      <c r="B106" s="5"/>
      <c r="C106" s="2" t="str">
        <f>IF(B106="","",IFERROR(INDEX(INVENTARIO!$B:$B,MATCH(B106,INVENTARIO!$A:$A,0)),"No encontrado"))</f>
        <v/>
      </c>
      <c r="D106" s="2" t="str">
        <f>IF(B106="","",IFERROR(INDEX(INVENTARIO!$C:$C,MATCH(B106,INVENTARIO!$A:$A,0)),""))</f>
        <v/>
      </c>
      <c r="E106" s="2" t="str">
        <f>IF(B106="","",IFERROR(INDEX(INVENTARIO!$D:$D,MATCH(B106,INVENTARIO!$A:$A,0)),""))</f>
        <v/>
      </c>
      <c r="F106" s="10"/>
      <c r="G106" s="9" t="str">
        <f>IF(B106="","",IFERROR(INDEX(INVENTARIO!$F:$F,MATCH(B106,INVENTARIO!$A:$A,0)),""))</f>
        <v/>
      </c>
      <c r="H106" s="19" t="str">
        <f t="shared" si="3"/>
        <v/>
      </c>
      <c r="I106" s="5"/>
    </row>
    <row r="107" spans="1:9" x14ac:dyDescent="0.25">
      <c r="A107" s="18"/>
      <c r="B107" s="5"/>
      <c r="C107" s="2" t="str">
        <f>IF(B107="","",IFERROR(INDEX(INVENTARIO!$B:$B,MATCH(B107,INVENTARIO!$A:$A,0)),"No encontrado"))</f>
        <v/>
      </c>
      <c r="D107" s="2" t="str">
        <f>IF(B107="","",IFERROR(INDEX(INVENTARIO!$C:$C,MATCH(B107,INVENTARIO!$A:$A,0)),""))</f>
        <v/>
      </c>
      <c r="E107" s="2" t="str">
        <f>IF(B107="","",IFERROR(INDEX(INVENTARIO!$D:$D,MATCH(B107,INVENTARIO!$A:$A,0)),""))</f>
        <v/>
      </c>
      <c r="F107" s="10"/>
      <c r="G107" s="9" t="str">
        <f>IF(B107="","",IFERROR(INDEX(INVENTARIO!$F:$F,MATCH(B107,INVENTARIO!$A:$A,0)),""))</f>
        <v/>
      </c>
      <c r="H107" s="19" t="str">
        <f t="shared" si="3"/>
        <v/>
      </c>
      <c r="I107" s="5"/>
    </row>
    <row r="108" spans="1:9" x14ac:dyDescent="0.25">
      <c r="A108" s="18"/>
      <c r="B108" s="5"/>
      <c r="C108" s="2" t="str">
        <f>IF(B108="","",IFERROR(INDEX(INVENTARIO!$B:$B,MATCH(B108,INVENTARIO!$A:$A,0)),"No encontrado"))</f>
        <v/>
      </c>
      <c r="D108" s="2" t="str">
        <f>IF(B108="","",IFERROR(INDEX(INVENTARIO!$C:$C,MATCH(B108,INVENTARIO!$A:$A,0)),""))</f>
        <v/>
      </c>
      <c r="E108" s="2" t="str">
        <f>IF(B108="","",IFERROR(INDEX(INVENTARIO!$D:$D,MATCH(B108,INVENTARIO!$A:$A,0)),""))</f>
        <v/>
      </c>
      <c r="F108" s="10"/>
      <c r="G108" s="9" t="str">
        <f>IF(B108="","",IFERROR(INDEX(INVENTARIO!$F:$F,MATCH(B108,INVENTARIO!$A:$A,0)),""))</f>
        <v/>
      </c>
      <c r="H108" s="19" t="str">
        <f t="shared" si="3"/>
        <v/>
      </c>
      <c r="I108" s="5"/>
    </row>
    <row r="109" spans="1:9" x14ac:dyDescent="0.25">
      <c r="A109" s="18"/>
      <c r="B109" s="5"/>
      <c r="C109" s="2" t="str">
        <f>IF(B109="","",IFERROR(INDEX(INVENTARIO!$B:$B,MATCH(B109,INVENTARIO!$A:$A,0)),"No encontrado"))</f>
        <v/>
      </c>
      <c r="D109" s="2" t="str">
        <f>IF(B109="","",IFERROR(INDEX(INVENTARIO!$C:$C,MATCH(B109,INVENTARIO!$A:$A,0)),""))</f>
        <v/>
      </c>
      <c r="E109" s="2" t="str">
        <f>IF(B109="","",IFERROR(INDEX(INVENTARIO!$D:$D,MATCH(B109,INVENTARIO!$A:$A,0)),""))</f>
        <v/>
      </c>
      <c r="F109" s="10"/>
      <c r="G109" s="9" t="str">
        <f>IF(B109="","",IFERROR(INDEX(INVENTARIO!$F:$F,MATCH(B109,INVENTARIO!$A:$A,0)),""))</f>
        <v/>
      </c>
      <c r="H109" s="19" t="str">
        <f t="shared" si="3"/>
        <v/>
      </c>
      <c r="I109" s="5"/>
    </row>
    <row r="110" spans="1:9" x14ac:dyDescent="0.25">
      <c r="A110" s="18"/>
      <c r="B110" s="5"/>
      <c r="C110" s="2" t="str">
        <f>IF(B110="","",IFERROR(INDEX(INVENTARIO!$B:$B,MATCH(B110,INVENTARIO!$A:$A,0)),"No encontrado"))</f>
        <v/>
      </c>
      <c r="D110" s="2" t="str">
        <f>IF(B110="","",IFERROR(INDEX(INVENTARIO!$C:$C,MATCH(B110,INVENTARIO!$A:$A,0)),""))</f>
        <v/>
      </c>
      <c r="E110" s="2" t="str">
        <f>IF(B110="","",IFERROR(INDEX(INVENTARIO!$D:$D,MATCH(B110,INVENTARIO!$A:$A,0)),""))</f>
        <v/>
      </c>
      <c r="F110" s="10"/>
      <c r="G110" s="9" t="str">
        <f>IF(B110="","",IFERROR(INDEX(INVENTARIO!$F:$F,MATCH(B110,INVENTARIO!$A:$A,0)),""))</f>
        <v/>
      </c>
      <c r="H110" s="19" t="str">
        <f t="shared" si="3"/>
        <v/>
      </c>
      <c r="I110" s="5"/>
    </row>
    <row r="111" spans="1:9" x14ac:dyDescent="0.25">
      <c r="A111" s="18"/>
      <c r="B111" s="5"/>
      <c r="C111" s="2" t="str">
        <f>IF(B111="","",IFERROR(INDEX(INVENTARIO!$B:$B,MATCH(B111,INVENTARIO!$A:$A,0)),"No encontrado"))</f>
        <v/>
      </c>
      <c r="D111" s="2" t="str">
        <f>IF(B111="","",IFERROR(INDEX(INVENTARIO!$C:$C,MATCH(B111,INVENTARIO!$A:$A,0)),""))</f>
        <v/>
      </c>
      <c r="E111" s="2" t="str">
        <f>IF(B111="","",IFERROR(INDEX(INVENTARIO!$D:$D,MATCH(B111,INVENTARIO!$A:$A,0)),""))</f>
        <v/>
      </c>
      <c r="F111" s="10"/>
      <c r="G111" s="9" t="str">
        <f>IF(B111="","",IFERROR(INDEX(INVENTARIO!$F:$F,MATCH(B111,INVENTARIO!$A:$A,0)),""))</f>
        <v/>
      </c>
      <c r="H111" s="19" t="str">
        <f t="shared" si="3"/>
        <v/>
      </c>
      <c r="I111" s="5"/>
    </row>
    <row r="112" spans="1:9" x14ac:dyDescent="0.25">
      <c r="A112" s="18"/>
      <c r="B112" s="5"/>
      <c r="C112" s="2" t="str">
        <f>IF(B112="","",IFERROR(INDEX(INVENTARIO!$B:$B,MATCH(B112,INVENTARIO!$A:$A,0)),"No encontrado"))</f>
        <v/>
      </c>
      <c r="D112" s="2" t="str">
        <f>IF(B112="","",IFERROR(INDEX(INVENTARIO!$C:$C,MATCH(B112,INVENTARIO!$A:$A,0)),""))</f>
        <v/>
      </c>
      <c r="E112" s="2" t="str">
        <f>IF(B112="","",IFERROR(INDEX(INVENTARIO!$D:$D,MATCH(B112,INVENTARIO!$A:$A,0)),""))</f>
        <v/>
      </c>
      <c r="F112" s="10"/>
      <c r="G112" s="9" t="str">
        <f>IF(B112="","",IFERROR(INDEX(INVENTARIO!$F:$F,MATCH(B112,INVENTARIO!$A:$A,0)),""))</f>
        <v/>
      </c>
      <c r="H112" s="19" t="str">
        <f t="shared" si="3"/>
        <v/>
      </c>
      <c r="I112" s="5"/>
    </row>
    <row r="113" spans="1:9" x14ac:dyDescent="0.25">
      <c r="A113" s="18"/>
      <c r="B113" s="5"/>
      <c r="C113" s="2" t="str">
        <f>IF(B113="","",IFERROR(INDEX(INVENTARIO!$B:$B,MATCH(B113,INVENTARIO!$A:$A,0)),"No encontrado"))</f>
        <v/>
      </c>
      <c r="D113" s="2" t="str">
        <f>IF(B113="","",IFERROR(INDEX(INVENTARIO!$C:$C,MATCH(B113,INVENTARIO!$A:$A,0)),""))</f>
        <v/>
      </c>
      <c r="E113" s="2" t="str">
        <f>IF(B113="","",IFERROR(INDEX(INVENTARIO!$D:$D,MATCH(B113,INVENTARIO!$A:$A,0)),""))</f>
        <v/>
      </c>
      <c r="F113" s="10"/>
      <c r="G113" s="9" t="str">
        <f>IF(B113="","",IFERROR(INDEX(INVENTARIO!$F:$F,MATCH(B113,INVENTARIO!$A:$A,0)),""))</f>
        <v/>
      </c>
      <c r="H113" s="19" t="str">
        <f t="shared" si="3"/>
        <v/>
      </c>
      <c r="I113" s="5"/>
    </row>
    <row r="114" spans="1:9" x14ac:dyDescent="0.25">
      <c r="A114" s="18"/>
      <c r="B114" s="5"/>
      <c r="C114" s="2" t="str">
        <f>IF(B114="","",IFERROR(INDEX(INVENTARIO!$B:$B,MATCH(B114,INVENTARIO!$A:$A,0)),"No encontrado"))</f>
        <v/>
      </c>
      <c r="D114" s="2" t="str">
        <f>IF(B114="","",IFERROR(INDEX(INVENTARIO!$C:$C,MATCH(B114,INVENTARIO!$A:$A,0)),""))</f>
        <v/>
      </c>
      <c r="E114" s="2" t="str">
        <f>IF(B114="","",IFERROR(INDEX(INVENTARIO!$D:$D,MATCH(B114,INVENTARIO!$A:$A,0)),""))</f>
        <v/>
      </c>
      <c r="F114" s="10"/>
      <c r="G114" s="9" t="str">
        <f>IF(B114="","",IFERROR(INDEX(INVENTARIO!$F:$F,MATCH(B114,INVENTARIO!$A:$A,0)),""))</f>
        <v/>
      </c>
      <c r="H114" s="19" t="str">
        <f t="shared" si="3"/>
        <v/>
      </c>
      <c r="I114" s="5"/>
    </row>
    <row r="115" spans="1:9" x14ac:dyDescent="0.25">
      <c r="A115" s="18"/>
      <c r="B115" s="5"/>
      <c r="C115" s="2" t="str">
        <f>IF(B115="","",IFERROR(INDEX(INVENTARIO!$B:$B,MATCH(B115,INVENTARIO!$A:$A,0)),"No encontrado"))</f>
        <v/>
      </c>
      <c r="D115" s="2" t="str">
        <f>IF(B115="","",IFERROR(INDEX(INVENTARIO!$C:$C,MATCH(B115,INVENTARIO!$A:$A,0)),""))</f>
        <v/>
      </c>
      <c r="E115" s="2" t="str">
        <f>IF(B115="","",IFERROR(INDEX(INVENTARIO!$D:$D,MATCH(B115,INVENTARIO!$A:$A,0)),""))</f>
        <v/>
      </c>
      <c r="F115" s="10"/>
      <c r="G115" s="9" t="str">
        <f>IF(B115="","",IFERROR(INDEX(INVENTARIO!$F:$F,MATCH(B115,INVENTARIO!$A:$A,0)),""))</f>
        <v/>
      </c>
      <c r="H115" s="19" t="str">
        <f t="shared" si="3"/>
        <v/>
      </c>
      <c r="I115" s="5"/>
    </row>
    <row r="116" spans="1:9" x14ac:dyDescent="0.25">
      <c r="A116" s="18"/>
      <c r="B116" s="5"/>
      <c r="C116" s="2" t="str">
        <f>IF(B116="","",IFERROR(INDEX(INVENTARIO!$B:$B,MATCH(B116,INVENTARIO!$A:$A,0)),"No encontrado"))</f>
        <v/>
      </c>
      <c r="D116" s="2" t="str">
        <f>IF(B116="","",IFERROR(INDEX(INVENTARIO!$C:$C,MATCH(B116,INVENTARIO!$A:$A,0)),""))</f>
        <v/>
      </c>
      <c r="E116" s="2" t="str">
        <f>IF(B116="","",IFERROR(INDEX(INVENTARIO!$D:$D,MATCH(B116,INVENTARIO!$A:$A,0)),""))</f>
        <v/>
      </c>
      <c r="F116" s="10"/>
      <c r="G116" s="9" t="str">
        <f>IF(B116="","",IFERROR(INDEX(INVENTARIO!$F:$F,MATCH(B116,INVENTARIO!$A:$A,0)),""))</f>
        <v/>
      </c>
      <c r="H116" s="19" t="str">
        <f t="shared" si="3"/>
        <v/>
      </c>
      <c r="I116" s="5"/>
    </row>
    <row r="117" spans="1:9" x14ac:dyDescent="0.25">
      <c r="A117" s="18"/>
      <c r="B117" s="5"/>
      <c r="C117" s="2" t="str">
        <f>IF(B117="","",IFERROR(INDEX(INVENTARIO!$B:$B,MATCH(B117,INVENTARIO!$A:$A,0)),"No encontrado"))</f>
        <v/>
      </c>
      <c r="D117" s="2" t="str">
        <f>IF(B117="","",IFERROR(INDEX(INVENTARIO!$C:$C,MATCH(B117,INVENTARIO!$A:$A,0)),""))</f>
        <v/>
      </c>
      <c r="E117" s="2" t="str">
        <f>IF(B117="","",IFERROR(INDEX(INVENTARIO!$D:$D,MATCH(B117,INVENTARIO!$A:$A,0)),""))</f>
        <v/>
      </c>
      <c r="F117" s="10"/>
      <c r="G117" s="9" t="str">
        <f>IF(B117="","",IFERROR(INDEX(INVENTARIO!$F:$F,MATCH(B117,INVENTARIO!$A:$A,0)),""))</f>
        <v/>
      </c>
      <c r="H117" s="19" t="str">
        <f t="shared" si="3"/>
        <v/>
      </c>
      <c r="I117" s="5"/>
    </row>
    <row r="118" spans="1:9" x14ac:dyDescent="0.25">
      <c r="A118" s="18"/>
      <c r="B118" s="5"/>
      <c r="C118" s="2" t="str">
        <f>IF(B118="","",IFERROR(INDEX(INVENTARIO!$B:$B,MATCH(B118,INVENTARIO!$A:$A,0)),"No encontrado"))</f>
        <v/>
      </c>
      <c r="D118" s="2" t="str">
        <f>IF(B118="","",IFERROR(INDEX(INVENTARIO!$C:$C,MATCH(B118,INVENTARIO!$A:$A,0)),""))</f>
        <v/>
      </c>
      <c r="E118" s="2" t="str">
        <f>IF(B118="","",IFERROR(INDEX(INVENTARIO!$D:$D,MATCH(B118,INVENTARIO!$A:$A,0)),""))</f>
        <v/>
      </c>
      <c r="F118" s="10"/>
      <c r="G118" s="9" t="str">
        <f>IF(B118="","",IFERROR(INDEX(INVENTARIO!$F:$F,MATCH(B118,INVENTARIO!$A:$A,0)),""))</f>
        <v/>
      </c>
      <c r="H118" s="19" t="str">
        <f t="shared" si="3"/>
        <v/>
      </c>
      <c r="I118" s="5"/>
    </row>
    <row r="119" spans="1:9" x14ac:dyDescent="0.25">
      <c r="A119" s="18"/>
      <c r="B119" s="5"/>
      <c r="C119" s="2" t="str">
        <f>IF(B119="","",IFERROR(INDEX(INVENTARIO!$B:$B,MATCH(B119,INVENTARIO!$A:$A,0)),"No encontrado"))</f>
        <v/>
      </c>
      <c r="D119" s="2" t="str">
        <f>IF(B119="","",IFERROR(INDEX(INVENTARIO!$C:$C,MATCH(B119,INVENTARIO!$A:$A,0)),""))</f>
        <v/>
      </c>
      <c r="E119" s="2" t="str">
        <f>IF(B119="","",IFERROR(INDEX(INVENTARIO!$D:$D,MATCH(B119,INVENTARIO!$A:$A,0)),""))</f>
        <v/>
      </c>
      <c r="F119" s="10"/>
      <c r="G119" s="9" t="str">
        <f>IF(B119="","",IFERROR(INDEX(INVENTARIO!$F:$F,MATCH(B119,INVENTARIO!$A:$A,0)),""))</f>
        <v/>
      </c>
      <c r="H119" s="19" t="str">
        <f t="shared" si="3"/>
        <v/>
      </c>
      <c r="I119" s="5"/>
    </row>
    <row r="120" spans="1:9" x14ac:dyDescent="0.25">
      <c r="A120" s="18"/>
      <c r="B120" s="5"/>
      <c r="C120" s="2" t="str">
        <f>IF(B120="","",IFERROR(INDEX(INVENTARIO!$B:$B,MATCH(B120,INVENTARIO!$A:$A,0)),"No encontrado"))</f>
        <v/>
      </c>
      <c r="D120" s="2" t="str">
        <f>IF(B120="","",IFERROR(INDEX(INVENTARIO!$C:$C,MATCH(B120,INVENTARIO!$A:$A,0)),""))</f>
        <v/>
      </c>
      <c r="E120" s="2" t="str">
        <f>IF(B120="","",IFERROR(INDEX(INVENTARIO!$D:$D,MATCH(B120,INVENTARIO!$A:$A,0)),""))</f>
        <v/>
      </c>
      <c r="F120" s="10"/>
      <c r="G120" s="9" t="str">
        <f>IF(B120="","",IFERROR(INDEX(INVENTARIO!$F:$F,MATCH(B120,INVENTARIO!$A:$A,0)),""))</f>
        <v/>
      </c>
      <c r="H120" s="19" t="str">
        <f t="shared" si="3"/>
        <v/>
      </c>
      <c r="I120" s="5"/>
    </row>
    <row r="121" spans="1:9" x14ac:dyDescent="0.25">
      <c r="A121" s="18"/>
      <c r="B121" s="5"/>
      <c r="C121" s="2" t="str">
        <f>IF(B121="","",IFERROR(INDEX(INVENTARIO!$B:$B,MATCH(B121,INVENTARIO!$A:$A,0)),"No encontrado"))</f>
        <v/>
      </c>
      <c r="D121" s="2" t="str">
        <f>IF(B121="","",IFERROR(INDEX(INVENTARIO!$C:$C,MATCH(B121,INVENTARIO!$A:$A,0)),""))</f>
        <v/>
      </c>
      <c r="E121" s="2" t="str">
        <f>IF(B121="","",IFERROR(INDEX(INVENTARIO!$D:$D,MATCH(B121,INVENTARIO!$A:$A,0)),""))</f>
        <v/>
      </c>
      <c r="F121" s="10"/>
      <c r="G121" s="9" t="str">
        <f>IF(B121="","",IFERROR(INDEX(INVENTARIO!$F:$F,MATCH(B121,INVENTARIO!$A:$A,0)),""))</f>
        <v/>
      </c>
      <c r="H121" s="19" t="str">
        <f t="shared" si="3"/>
        <v/>
      </c>
      <c r="I121" s="5"/>
    </row>
    <row r="122" spans="1:9" x14ac:dyDescent="0.25">
      <c r="A122" s="18"/>
      <c r="B122" s="5"/>
      <c r="C122" s="2" t="str">
        <f>IF(B122="","",IFERROR(INDEX(INVENTARIO!$B:$B,MATCH(B122,INVENTARIO!$A:$A,0)),"No encontrado"))</f>
        <v/>
      </c>
      <c r="D122" s="2" t="str">
        <f>IF(B122="","",IFERROR(INDEX(INVENTARIO!$C:$C,MATCH(B122,INVENTARIO!$A:$A,0)),""))</f>
        <v/>
      </c>
      <c r="E122" s="2" t="str">
        <f>IF(B122="","",IFERROR(INDEX(INVENTARIO!$D:$D,MATCH(B122,INVENTARIO!$A:$A,0)),""))</f>
        <v/>
      </c>
      <c r="F122" s="10"/>
      <c r="G122" s="9" t="str">
        <f>IF(B122="","",IFERROR(INDEX(INVENTARIO!$F:$F,MATCH(B122,INVENTARIO!$A:$A,0)),""))</f>
        <v/>
      </c>
      <c r="H122" s="19" t="str">
        <f t="shared" si="3"/>
        <v/>
      </c>
      <c r="I122" s="5"/>
    </row>
    <row r="123" spans="1:9" x14ac:dyDescent="0.25">
      <c r="A123" s="18"/>
      <c r="B123" s="5"/>
      <c r="C123" s="2" t="str">
        <f>IF(B123="","",IFERROR(INDEX(INVENTARIO!$B:$B,MATCH(B123,INVENTARIO!$A:$A,0)),"No encontrado"))</f>
        <v/>
      </c>
      <c r="D123" s="2" t="str">
        <f>IF(B123="","",IFERROR(INDEX(INVENTARIO!$C:$C,MATCH(B123,INVENTARIO!$A:$A,0)),""))</f>
        <v/>
      </c>
      <c r="E123" s="2" t="str">
        <f>IF(B123="","",IFERROR(INDEX(INVENTARIO!$D:$D,MATCH(B123,INVENTARIO!$A:$A,0)),""))</f>
        <v/>
      </c>
      <c r="F123" s="10"/>
      <c r="G123" s="9" t="str">
        <f>IF(B123="","",IFERROR(INDEX(INVENTARIO!$F:$F,MATCH(B123,INVENTARIO!$A:$A,0)),""))</f>
        <v/>
      </c>
      <c r="H123" s="19" t="str">
        <f t="shared" si="3"/>
        <v/>
      </c>
      <c r="I123" s="5"/>
    </row>
    <row r="124" spans="1:9" x14ac:dyDescent="0.25">
      <c r="A124" s="18"/>
      <c r="B124" s="5"/>
      <c r="C124" s="2" t="str">
        <f>IF(B124="","",IFERROR(INDEX(INVENTARIO!$B:$B,MATCH(B124,INVENTARIO!$A:$A,0)),"No encontrado"))</f>
        <v/>
      </c>
      <c r="D124" s="2" t="str">
        <f>IF(B124="","",IFERROR(INDEX(INVENTARIO!$C:$C,MATCH(B124,INVENTARIO!$A:$A,0)),""))</f>
        <v/>
      </c>
      <c r="E124" s="2" t="str">
        <f>IF(B124="","",IFERROR(INDEX(INVENTARIO!$D:$D,MATCH(B124,INVENTARIO!$A:$A,0)),""))</f>
        <v/>
      </c>
      <c r="F124" s="10"/>
      <c r="G124" s="9" t="str">
        <f>IF(B124="","",IFERROR(INDEX(INVENTARIO!$F:$F,MATCH(B124,INVENTARIO!$A:$A,0)),""))</f>
        <v/>
      </c>
      <c r="H124" s="19" t="str">
        <f t="shared" si="3"/>
        <v/>
      </c>
      <c r="I124" s="5"/>
    </row>
    <row r="125" spans="1:9" x14ac:dyDescent="0.25">
      <c r="A125" s="18"/>
      <c r="B125" s="5"/>
      <c r="C125" s="2" t="str">
        <f>IF(B125="","",IFERROR(INDEX(INVENTARIO!$B:$B,MATCH(B125,INVENTARIO!$A:$A,0)),"No encontrado"))</f>
        <v/>
      </c>
      <c r="D125" s="2" t="str">
        <f>IF(B125="","",IFERROR(INDEX(INVENTARIO!$C:$C,MATCH(B125,INVENTARIO!$A:$A,0)),""))</f>
        <v/>
      </c>
      <c r="E125" s="2" t="str">
        <f>IF(B125="","",IFERROR(INDEX(INVENTARIO!$D:$D,MATCH(B125,INVENTARIO!$A:$A,0)),""))</f>
        <v/>
      </c>
      <c r="F125" s="10"/>
      <c r="G125" s="9" t="str">
        <f>IF(B125="","",IFERROR(INDEX(INVENTARIO!$F:$F,MATCH(B125,INVENTARIO!$A:$A,0)),""))</f>
        <v/>
      </c>
      <c r="H125" s="19" t="str">
        <f t="shared" si="3"/>
        <v/>
      </c>
      <c r="I125" s="5"/>
    </row>
    <row r="126" spans="1:9" x14ac:dyDescent="0.25">
      <c r="A126" s="18"/>
      <c r="B126" s="5"/>
      <c r="C126" s="2" t="str">
        <f>IF(B126="","",IFERROR(INDEX(INVENTARIO!$B:$B,MATCH(B126,INVENTARIO!$A:$A,0)),"No encontrado"))</f>
        <v/>
      </c>
      <c r="D126" s="2" t="str">
        <f>IF(B126="","",IFERROR(INDEX(INVENTARIO!$C:$C,MATCH(B126,INVENTARIO!$A:$A,0)),""))</f>
        <v/>
      </c>
      <c r="E126" s="2" t="str">
        <f>IF(B126="","",IFERROR(INDEX(INVENTARIO!$D:$D,MATCH(B126,INVENTARIO!$A:$A,0)),""))</f>
        <v/>
      </c>
      <c r="F126" s="10"/>
      <c r="G126" s="9" t="str">
        <f>IF(B126="","",IFERROR(INDEX(INVENTARIO!$F:$F,MATCH(B126,INVENTARIO!$A:$A,0)),""))</f>
        <v/>
      </c>
      <c r="H126" s="19" t="str">
        <f t="shared" si="3"/>
        <v/>
      </c>
      <c r="I126" s="5"/>
    </row>
    <row r="127" spans="1:9" x14ac:dyDescent="0.25">
      <c r="A127" s="18"/>
      <c r="B127" s="5"/>
      <c r="C127" s="2" t="str">
        <f>IF(B127="","",IFERROR(INDEX(INVENTARIO!$B:$B,MATCH(B127,INVENTARIO!$A:$A,0)),"No encontrado"))</f>
        <v/>
      </c>
      <c r="D127" s="2" t="str">
        <f>IF(B127="","",IFERROR(INDEX(INVENTARIO!$C:$C,MATCH(B127,INVENTARIO!$A:$A,0)),""))</f>
        <v/>
      </c>
      <c r="E127" s="2" t="str">
        <f>IF(B127="","",IFERROR(INDEX(INVENTARIO!$D:$D,MATCH(B127,INVENTARIO!$A:$A,0)),""))</f>
        <v/>
      </c>
      <c r="F127" s="10"/>
      <c r="G127" s="9" t="str">
        <f>IF(B127="","",IFERROR(INDEX(INVENTARIO!$F:$F,MATCH(B127,INVENTARIO!$A:$A,0)),""))</f>
        <v/>
      </c>
      <c r="H127" s="19" t="str">
        <f t="shared" si="3"/>
        <v/>
      </c>
      <c r="I127" s="5"/>
    </row>
    <row r="128" spans="1:9" x14ac:dyDescent="0.25">
      <c r="A128" s="18"/>
      <c r="B128" s="5"/>
      <c r="C128" s="2" t="str">
        <f>IF(B128="","",IFERROR(INDEX(INVENTARIO!$B:$B,MATCH(B128,INVENTARIO!$A:$A,0)),"No encontrado"))</f>
        <v/>
      </c>
      <c r="D128" s="2" t="str">
        <f>IF(B128="","",IFERROR(INDEX(INVENTARIO!$C:$C,MATCH(B128,INVENTARIO!$A:$A,0)),""))</f>
        <v/>
      </c>
      <c r="E128" s="2" t="str">
        <f>IF(B128="","",IFERROR(INDEX(INVENTARIO!$D:$D,MATCH(B128,INVENTARIO!$A:$A,0)),""))</f>
        <v/>
      </c>
      <c r="F128" s="10"/>
      <c r="G128" s="9" t="str">
        <f>IF(B128="","",IFERROR(INDEX(INVENTARIO!$F:$F,MATCH(B128,INVENTARIO!$A:$A,0)),""))</f>
        <v/>
      </c>
      <c r="H128" s="19" t="str">
        <f t="shared" si="3"/>
        <v/>
      </c>
      <c r="I128" s="5"/>
    </row>
    <row r="129" spans="1:9" x14ac:dyDescent="0.25">
      <c r="A129" s="18"/>
      <c r="B129" s="5"/>
      <c r="C129" s="2" t="str">
        <f>IF(B129="","",IFERROR(INDEX(INVENTARIO!$B:$B,MATCH(B129,INVENTARIO!$A:$A,0)),"No encontrado"))</f>
        <v/>
      </c>
      <c r="D129" s="2" t="str">
        <f>IF(B129="","",IFERROR(INDEX(INVENTARIO!$C:$C,MATCH(B129,INVENTARIO!$A:$A,0)),""))</f>
        <v/>
      </c>
      <c r="E129" s="2" t="str">
        <f>IF(B129="","",IFERROR(INDEX(INVENTARIO!$D:$D,MATCH(B129,INVENTARIO!$A:$A,0)),""))</f>
        <v/>
      </c>
      <c r="F129" s="10"/>
      <c r="G129" s="9" t="str">
        <f>IF(B129="","",IFERROR(INDEX(INVENTARIO!$F:$F,MATCH(B129,INVENTARIO!$A:$A,0)),""))</f>
        <v/>
      </c>
      <c r="H129" s="19" t="str">
        <f t="shared" si="3"/>
        <v/>
      </c>
      <c r="I129" s="5"/>
    </row>
    <row r="130" spans="1:9" x14ac:dyDescent="0.25">
      <c r="A130" s="18"/>
      <c r="B130" s="5"/>
      <c r="C130" s="2" t="str">
        <f>IF(B130="","",IFERROR(INDEX(INVENTARIO!$B:$B,MATCH(B130,INVENTARIO!$A:$A,0)),"No encontrado"))</f>
        <v/>
      </c>
      <c r="D130" s="2" t="str">
        <f>IF(B130="","",IFERROR(INDEX(INVENTARIO!$C:$C,MATCH(B130,INVENTARIO!$A:$A,0)),""))</f>
        <v/>
      </c>
      <c r="E130" s="2" t="str">
        <f>IF(B130="","",IFERROR(INDEX(INVENTARIO!$D:$D,MATCH(B130,INVENTARIO!$A:$A,0)),""))</f>
        <v/>
      </c>
      <c r="F130" s="10"/>
      <c r="G130" s="9" t="str">
        <f>IF(B130="","",IFERROR(INDEX(INVENTARIO!$F:$F,MATCH(B130,INVENTARIO!$A:$A,0)),""))</f>
        <v/>
      </c>
      <c r="H130" s="19" t="str">
        <f t="shared" si="3"/>
        <v/>
      </c>
      <c r="I130" s="5"/>
    </row>
    <row r="131" spans="1:9" x14ac:dyDescent="0.25">
      <c r="A131" s="18"/>
      <c r="B131" s="5"/>
      <c r="C131" s="2" t="str">
        <f>IF(B131="","",IFERROR(INDEX(INVENTARIO!$B:$B,MATCH(B131,INVENTARIO!$A:$A,0)),"No encontrado"))</f>
        <v/>
      </c>
      <c r="D131" s="2" t="str">
        <f>IF(B131="","",IFERROR(INDEX(INVENTARIO!$C:$C,MATCH(B131,INVENTARIO!$A:$A,0)),""))</f>
        <v/>
      </c>
      <c r="E131" s="2" t="str">
        <f>IF(B131="","",IFERROR(INDEX(INVENTARIO!$D:$D,MATCH(B131,INVENTARIO!$A:$A,0)),""))</f>
        <v/>
      </c>
      <c r="F131" s="10"/>
      <c r="G131" s="9" t="str">
        <f>IF(B131="","",IFERROR(INDEX(INVENTARIO!$F:$F,MATCH(B131,INVENTARIO!$A:$A,0)),""))</f>
        <v/>
      </c>
      <c r="H131" s="19" t="str">
        <f t="shared" si="3"/>
        <v/>
      </c>
      <c r="I131" s="5"/>
    </row>
    <row r="132" spans="1:9" x14ac:dyDescent="0.25">
      <c r="A132" s="18"/>
      <c r="B132" s="5"/>
      <c r="C132" s="2" t="str">
        <f>IF(B132="","",IFERROR(INDEX(INVENTARIO!$B:$B,MATCH(B132,INVENTARIO!$A:$A,0)),"No encontrado"))</f>
        <v/>
      </c>
      <c r="D132" s="2" t="str">
        <f>IF(B132="","",IFERROR(INDEX(INVENTARIO!$C:$C,MATCH(B132,INVENTARIO!$A:$A,0)),""))</f>
        <v/>
      </c>
      <c r="E132" s="2" t="str">
        <f>IF(B132="","",IFERROR(INDEX(INVENTARIO!$D:$D,MATCH(B132,INVENTARIO!$A:$A,0)),""))</f>
        <v/>
      </c>
      <c r="F132" s="10"/>
      <c r="G132" s="9" t="str">
        <f>IF(B132="","",IFERROR(INDEX(INVENTARIO!$F:$F,MATCH(B132,INVENTARIO!$A:$A,0)),""))</f>
        <v/>
      </c>
      <c r="H132" s="19" t="str">
        <f t="shared" si="3"/>
        <v/>
      </c>
      <c r="I132" s="5"/>
    </row>
    <row r="133" spans="1:9" x14ac:dyDescent="0.25">
      <c r="A133" s="18"/>
      <c r="B133" s="5"/>
      <c r="C133" s="2" t="str">
        <f>IF(B133="","",IFERROR(INDEX(INVENTARIO!$B:$B,MATCH(B133,INVENTARIO!$A:$A,0)),"No encontrado"))</f>
        <v/>
      </c>
      <c r="D133" s="2" t="str">
        <f>IF(B133="","",IFERROR(INDEX(INVENTARIO!$C:$C,MATCH(B133,INVENTARIO!$A:$A,0)),""))</f>
        <v/>
      </c>
      <c r="E133" s="2" t="str">
        <f>IF(B133="","",IFERROR(INDEX(INVENTARIO!$D:$D,MATCH(B133,INVENTARIO!$A:$A,0)),""))</f>
        <v/>
      </c>
      <c r="F133" s="10"/>
      <c r="G133" s="9" t="str">
        <f>IF(B133="","",IFERROR(INDEX(INVENTARIO!$F:$F,MATCH(B133,INVENTARIO!$A:$A,0)),""))</f>
        <v/>
      </c>
      <c r="H133" s="19" t="str">
        <f t="shared" ref="H133:H164" si="4">IF(B133="","",G133*F133)</f>
        <v/>
      </c>
      <c r="I133" s="5"/>
    </row>
    <row r="134" spans="1:9" x14ac:dyDescent="0.25">
      <c r="A134" s="18"/>
      <c r="B134" s="5"/>
      <c r="C134" s="2" t="str">
        <f>IF(B134="","",IFERROR(INDEX(INVENTARIO!$B:$B,MATCH(B134,INVENTARIO!$A:$A,0)),"No encontrado"))</f>
        <v/>
      </c>
      <c r="D134" s="2" t="str">
        <f>IF(B134="","",IFERROR(INDEX(INVENTARIO!$C:$C,MATCH(B134,INVENTARIO!$A:$A,0)),""))</f>
        <v/>
      </c>
      <c r="E134" s="2" t="str">
        <f>IF(B134="","",IFERROR(INDEX(INVENTARIO!$D:$D,MATCH(B134,INVENTARIO!$A:$A,0)),""))</f>
        <v/>
      </c>
      <c r="F134" s="10"/>
      <c r="G134" s="9" t="str">
        <f>IF(B134="","",IFERROR(INDEX(INVENTARIO!$F:$F,MATCH(B134,INVENTARIO!$A:$A,0)),""))</f>
        <v/>
      </c>
      <c r="H134" s="19" t="str">
        <f t="shared" si="4"/>
        <v/>
      </c>
      <c r="I134" s="5"/>
    </row>
    <row r="135" spans="1:9" x14ac:dyDescent="0.25">
      <c r="A135" s="18"/>
      <c r="B135" s="5"/>
      <c r="C135" s="2" t="str">
        <f>IF(B135="","",IFERROR(INDEX(INVENTARIO!$B:$B,MATCH(B135,INVENTARIO!$A:$A,0)),"No encontrado"))</f>
        <v/>
      </c>
      <c r="D135" s="2" t="str">
        <f>IF(B135="","",IFERROR(INDEX(INVENTARIO!$C:$C,MATCH(B135,INVENTARIO!$A:$A,0)),""))</f>
        <v/>
      </c>
      <c r="E135" s="2" t="str">
        <f>IF(B135="","",IFERROR(INDEX(INVENTARIO!$D:$D,MATCH(B135,INVENTARIO!$A:$A,0)),""))</f>
        <v/>
      </c>
      <c r="F135" s="10"/>
      <c r="G135" s="9" t="str">
        <f>IF(B135="","",IFERROR(INDEX(INVENTARIO!$F:$F,MATCH(B135,INVENTARIO!$A:$A,0)),""))</f>
        <v/>
      </c>
      <c r="H135" s="19" t="str">
        <f t="shared" si="4"/>
        <v/>
      </c>
      <c r="I135" s="5"/>
    </row>
    <row r="136" spans="1:9" x14ac:dyDescent="0.25">
      <c r="A136" s="18"/>
      <c r="B136" s="5"/>
      <c r="C136" s="2" t="str">
        <f>IF(B136="","",IFERROR(INDEX(INVENTARIO!$B:$B,MATCH(B136,INVENTARIO!$A:$A,0)),"No encontrado"))</f>
        <v/>
      </c>
      <c r="D136" s="2" t="str">
        <f>IF(B136="","",IFERROR(INDEX(INVENTARIO!$C:$C,MATCH(B136,INVENTARIO!$A:$A,0)),""))</f>
        <v/>
      </c>
      <c r="E136" s="2" t="str">
        <f>IF(B136="","",IFERROR(INDEX(INVENTARIO!$D:$D,MATCH(B136,INVENTARIO!$A:$A,0)),""))</f>
        <v/>
      </c>
      <c r="F136" s="10"/>
      <c r="G136" s="9" t="str">
        <f>IF(B136="","",IFERROR(INDEX(INVENTARIO!$F:$F,MATCH(B136,INVENTARIO!$A:$A,0)),""))</f>
        <v/>
      </c>
      <c r="H136" s="19" t="str">
        <f t="shared" si="4"/>
        <v/>
      </c>
      <c r="I136" s="5"/>
    </row>
    <row r="137" spans="1:9" x14ac:dyDescent="0.25">
      <c r="A137" s="18"/>
      <c r="B137" s="5"/>
      <c r="C137" s="2" t="str">
        <f>IF(B137="","",IFERROR(INDEX(INVENTARIO!$B:$B,MATCH(B137,INVENTARIO!$A:$A,0)),"No encontrado"))</f>
        <v/>
      </c>
      <c r="D137" s="2" t="str">
        <f>IF(B137="","",IFERROR(INDEX(INVENTARIO!$C:$C,MATCH(B137,INVENTARIO!$A:$A,0)),""))</f>
        <v/>
      </c>
      <c r="E137" s="2" t="str">
        <f>IF(B137="","",IFERROR(INDEX(INVENTARIO!$D:$D,MATCH(B137,INVENTARIO!$A:$A,0)),""))</f>
        <v/>
      </c>
      <c r="F137" s="10"/>
      <c r="G137" s="9" t="str">
        <f>IF(B137="","",IFERROR(INDEX(INVENTARIO!$F:$F,MATCH(B137,INVENTARIO!$A:$A,0)),""))</f>
        <v/>
      </c>
      <c r="H137" s="19" t="str">
        <f t="shared" si="4"/>
        <v/>
      </c>
      <c r="I137" s="5"/>
    </row>
    <row r="138" spans="1:9" x14ac:dyDescent="0.25">
      <c r="A138" s="18"/>
      <c r="B138" s="5"/>
      <c r="C138" s="2" t="str">
        <f>IF(B138="","",IFERROR(INDEX(INVENTARIO!$B:$B,MATCH(B138,INVENTARIO!$A:$A,0)),"No encontrado"))</f>
        <v/>
      </c>
      <c r="D138" s="2" t="str">
        <f>IF(B138="","",IFERROR(INDEX(INVENTARIO!$C:$C,MATCH(B138,INVENTARIO!$A:$A,0)),""))</f>
        <v/>
      </c>
      <c r="E138" s="2" t="str">
        <f>IF(B138="","",IFERROR(INDEX(INVENTARIO!$D:$D,MATCH(B138,INVENTARIO!$A:$A,0)),""))</f>
        <v/>
      </c>
      <c r="F138" s="10"/>
      <c r="G138" s="9" t="str">
        <f>IF(B138="","",IFERROR(INDEX(INVENTARIO!$F:$F,MATCH(B138,INVENTARIO!$A:$A,0)),""))</f>
        <v/>
      </c>
      <c r="H138" s="19" t="str">
        <f t="shared" si="4"/>
        <v/>
      </c>
      <c r="I138" s="5"/>
    </row>
    <row r="139" spans="1:9" x14ac:dyDescent="0.25">
      <c r="A139" s="18"/>
      <c r="B139" s="5"/>
      <c r="C139" s="2" t="str">
        <f>IF(B139="","",IFERROR(INDEX(INVENTARIO!$B:$B,MATCH(B139,INVENTARIO!$A:$A,0)),"No encontrado"))</f>
        <v/>
      </c>
      <c r="D139" s="2" t="str">
        <f>IF(B139="","",IFERROR(INDEX(INVENTARIO!$C:$C,MATCH(B139,INVENTARIO!$A:$A,0)),""))</f>
        <v/>
      </c>
      <c r="E139" s="2" t="str">
        <f>IF(B139="","",IFERROR(INDEX(INVENTARIO!$D:$D,MATCH(B139,INVENTARIO!$A:$A,0)),""))</f>
        <v/>
      </c>
      <c r="F139" s="10"/>
      <c r="G139" s="9" t="str">
        <f>IF(B139="","",IFERROR(INDEX(INVENTARIO!$F:$F,MATCH(B139,INVENTARIO!$A:$A,0)),""))</f>
        <v/>
      </c>
      <c r="H139" s="19" t="str">
        <f t="shared" si="4"/>
        <v/>
      </c>
      <c r="I139" s="5"/>
    </row>
    <row r="140" spans="1:9" x14ac:dyDescent="0.25">
      <c r="A140" s="18"/>
      <c r="B140" s="5"/>
      <c r="C140" s="2" t="str">
        <f>IF(B140="","",IFERROR(INDEX(INVENTARIO!$B:$B,MATCH(B140,INVENTARIO!$A:$A,0)),"No encontrado"))</f>
        <v/>
      </c>
      <c r="D140" s="2" t="str">
        <f>IF(B140="","",IFERROR(INDEX(INVENTARIO!$C:$C,MATCH(B140,INVENTARIO!$A:$A,0)),""))</f>
        <v/>
      </c>
      <c r="E140" s="2" t="str">
        <f>IF(B140="","",IFERROR(INDEX(INVENTARIO!$D:$D,MATCH(B140,INVENTARIO!$A:$A,0)),""))</f>
        <v/>
      </c>
      <c r="F140" s="10"/>
      <c r="G140" s="9" t="str">
        <f>IF(B140="","",IFERROR(INDEX(INVENTARIO!$F:$F,MATCH(B140,INVENTARIO!$A:$A,0)),""))</f>
        <v/>
      </c>
      <c r="H140" s="19" t="str">
        <f t="shared" si="4"/>
        <v/>
      </c>
      <c r="I140" s="5"/>
    </row>
    <row r="141" spans="1:9" x14ac:dyDescent="0.25">
      <c r="A141" s="18"/>
      <c r="B141" s="5"/>
      <c r="C141" s="2" t="str">
        <f>IF(B141="","",IFERROR(INDEX(INVENTARIO!$B:$B,MATCH(B141,INVENTARIO!$A:$A,0)),"No encontrado"))</f>
        <v/>
      </c>
      <c r="D141" s="2" t="str">
        <f>IF(B141="","",IFERROR(INDEX(INVENTARIO!$C:$C,MATCH(B141,INVENTARIO!$A:$A,0)),""))</f>
        <v/>
      </c>
      <c r="E141" s="2" t="str">
        <f>IF(B141="","",IFERROR(INDEX(INVENTARIO!$D:$D,MATCH(B141,INVENTARIO!$A:$A,0)),""))</f>
        <v/>
      </c>
      <c r="F141" s="10"/>
      <c r="G141" s="9" t="str">
        <f>IF(B141="","",IFERROR(INDEX(INVENTARIO!$F:$F,MATCH(B141,INVENTARIO!$A:$A,0)),""))</f>
        <v/>
      </c>
      <c r="H141" s="19" t="str">
        <f t="shared" si="4"/>
        <v/>
      </c>
      <c r="I141" s="5"/>
    </row>
    <row r="142" spans="1:9" x14ac:dyDescent="0.25">
      <c r="A142" s="18"/>
      <c r="B142" s="5"/>
      <c r="C142" s="2" t="str">
        <f>IF(B142="","",IFERROR(INDEX(INVENTARIO!$B:$B,MATCH(B142,INVENTARIO!$A:$A,0)),"No encontrado"))</f>
        <v/>
      </c>
      <c r="D142" s="2" t="str">
        <f>IF(B142="","",IFERROR(INDEX(INVENTARIO!$C:$C,MATCH(B142,INVENTARIO!$A:$A,0)),""))</f>
        <v/>
      </c>
      <c r="E142" s="2" t="str">
        <f>IF(B142="","",IFERROR(INDEX(INVENTARIO!$D:$D,MATCH(B142,INVENTARIO!$A:$A,0)),""))</f>
        <v/>
      </c>
      <c r="F142" s="10"/>
      <c r="G142" s="9" t="str">
        <f>IF(B142="","",IFERROR(INDEX(INVENTARIO!$F:$F,MATCH(B142,INVENTARIO!$A:$A,0)),""))</f>
        <v/>
      </c>
      <c r="H142" s="19" t="str">
        <f t="shared" si="4"/>
        <v/>
      </c>
      <c r="I142" s="5"/>
    </row>
    <row r="143" spans="1:9" x14ac:dyDescent="0.25">
      <c r="A143" s="18"/>
      <c r="B143" s="5"/>
      <c r="C143" s="2" t="str">
        <f>IF(B143="","",IFERROR(INDEX(INVENTARIO!$B:$B,MATCH(B143,INVENTARIO!$A:$A,0)),"No encontrado"))</f>
        <v/>
      </c>
      <c r="D143" s="2" t="str">
        <f>IF(B143="","",IFERROR(INDEX(INVENTARIO!$C:$C,MATCH(B143,INVENTARIO!$A:$A,0)),""))</f>
        <v/>
      </c>
      <c r="E143" s="2" t="str">
        <f>IF(B143="","",IFERROR(INDEX(INVENTARIO!$D:$D,MATCH(B143,INVENTARIO!$A:$A,0)),""))</f>
        <v/>
      </c>
      <c r="F143" s="10"/>
      <c r="G143" s="9" t="str">
        <f>IF(B143="","",IFERROR(INDEX(INVENTARIO!$F:$F,MATCH(B143,INVENTARIO!$A:$A,0)),""))</f>
        <v/>
      </c>
      <c r="H143" s="19" t="str">
        <f t="shared" si="4"/>
        <v/>
      </c>
      <c r="I143" s="5"/>
    </row>
    <row r="144" spans="1:9" x14ac:dyDescent="0.25">
      <c r="A144" s="18"/>
      <c r="B144" s="5"/>
      <c r="C144" s="2" t="str">
        <f>IF(B144="","",IFERROR(INDEX(INVENTARIO!$B:$B,MATCH(B144,INVENTARIO!$A:$A,0)),"No encontrado"))</f>
        <v/>
      </c>
      <c r="D144" s="2" t="str">
        <f>IF(B144="","",IFERROR(INDEX(INVENTARIO!$C:$C,MATCH(B144,INVENTARIO!$A:$A,0)),""))</f>
        <v/>
      </c>
      <c r="E144" s="2" t="str">
        <f>IF(B144="","",IFERROR(INDEX(INVENTARIO!$D:$D,MATCH(B144,INVENTARIO!$A:$A,0)),""))</f>
        <v/>
      </c>
      <c r="F144" s="10"/>
      <c r="G144" s="9" t="str">
        <f>IF(B144="","",IFERROR(INDEX(INVENTARIO!$F:$F,MATCH(B144,INVENTARIO!$A:$A,0)),""))</f>
        <v/>
      </c>
      <c r="H144" s="19" t="str">
        <f t="shared" si="4"/>
        <v/>
      </c>
      <c r="I144" s="5"/>
    </row>
    <row r="145" spans="1:9" x14ac:dyDescent="0.25">
      <c r="A145" s="18"/>
      <c r="B145" s="5"/>
      <c r="C145" s="2" t="str">
        <f>IF(B145="","",IFERROR(INDEX(INVENTARIO!$B:$B,MATCH(B145,INVENTARIO!$A:$A,0)),"No encontrado"))</f>
        <v/>
      </c>
      <c r="D145" s="2" t="str">
        <f>IF(B145="","",IFERROR(INDEX(INVENTARIO!$C:$C,MATCH(B145,INVENTARIO!$A:$A,0)),""))</f>
        <v/>
      </c>
      <c r="E145" s="2" t="str">
        <f>IF(B145="","",IFERROR(INDEX(INVENTARIO!$D:$D,MATCH(B145,INVENTARIO!$A:$A,0)),""))</f>
        <v/>
      </c>
      <c r="F145" s="10"/>
      <c r="G145" s="9" t="str">
        <f>IF(B145="","",IFERROR(INDEX(INVENTARIO!$F:$F,MATCH(B145,INVENTARIO!$A:$A,0)),""))</f>
        <v/>
      </c>
      <c r="H145" s="19" t="str">
        <f t="shared" si="4"/>
        <v/>
      </c>
      <c r="I145" s="5"/>
    </row>
    <row r="146" spans="1:9" x14ac:dyDescent="0.25">
      <c r="A146" s="18"/>
      <c r="B146" s="5"/>
      <c r="C146" s="2" t="str">
        <f>IF(B146="","",IFERROR(INDEX(INVENTARIO!$B:$B,MATCH(B146,INVENTARIO!$A:$A,0)),"No encontrado"))</f>
        <v/>
      </c>
      <c r="D146" s="2" t="str">
        <f>IF(B146="","",IFERROR(INDEX(INVENTARIO!$C:$C,MATCH(B146,INVENTARIO!$A:$A,0)),""))</f>
        <v/>
      </c>
      <c r="E146" s="2" t="str">
        <f>IF(B146="","",IFERROR(INDEX(INVENTARIO!$D:$D,MATCH(B146,INVENTARIO!$A:$A,0)),""))</f>
        <v/>
      </c>
      <c r="F146" s="10"/>
      <c r="G146" s="9" t="str">
        <f>IF(B146="","",IFERROR(INDEX(INVENTARIO!$F:$F,MATCH(B146,INVENTARIO!$A:$A,0)),""))</f>
        <v/>
      </c>
      <c r="H146" s="19" t="str">
        <f t="shared" si="4"/>
        <v/>
      </c>
      <c r="I146" s="5"/>
    </row>
    <row r="147" spans="1:9" x14ac:dyDescent="0.25">
      <c r="A147" s="18"/>
      <c r="B147" s="5"/>
      <c r="C147" s="2" t="str">
        <f>IF(B147="","",IFERROR(INDEX(INVENTARIO!$B:$B,MATCH(B147,INVENTARIO!$A:$A,0)),"No encontrado"))</f>
        <v/>
      </c>
      <c r="D147" s="2" t="str">
        <f>IF(B147="","",IFERROR(INDEX(INVENTARIO!$C:$C,MATCH(B147,INVENTARIO!$A:$A,0)),""))</f>
        <v/>
      </c>
      <c r="E147" s="2" t="str">
        <f>IF(B147="","",IFERROR(INDEX(INVENTARIO!$D:$D,MATCH(B147,INVENTARIO!$A:$A,0)),""))</f>
        <v/>
      </c>
      <c r="F147" s="10"/>
      <c r="G147" s="9" t="str">
        <f>IF(B147="","",IFERROR(INDEX(INVENTARIO!$F:$F,MATCH(B147,INVENTARIO!$A:$A,0)),""))</f>
        <v/>
      </c>
      <c r="H147" s="19" t="str">
        <f t="shared" si="4"/>
        <v/>
      </c>
      <c r="I147" s="5"/>
    </row>
    <row r="148" spans="1:9" x14ac:dyDescent="0.25">
      <c r="A148" s="18"/>
      <c r="B148" s="5"/>
      <c r="C148" s="2" t="str">
        <f>IF(B148="","",IFERROR(INDEX(INVENTARIO!$B:$B,MATCH(B148,INVENTARIO!$A:$A,0)),"No encontrado"))</f>
        <v/>
      </c>
      <c r="D148" s="2" t="str">
        <f>IF(B148="","",IFERROR(INDEX(INVENTARIO!$C:$C,MATCH(B148,INVENTARIO!$A:$A,0)),""))</f>
        <v/>
      </c>
      <c r="E148" s="2" t="str">
        <f>IF(B148="","",IFERROR(INDEX(INVENTARIO!$D:$D,MATCH(B148,INVENTARIO!$A:$A,0)),""))</f>
        <v/>
      </c>
      <c r="F148" s="10"/>
      <c r="G148" s="9" t="str">
        <f>IF(B148="","",IFERROR(INDEX(INVENTARIO!$F:$F,MATCH(B148,INVENTARIO!$A:$A,0)),""))</f>
        <v/>
      </c>
      <c r="H148" s="19" t="str">
        <f t="shared" si="4"/>
        <v/>
      </c>
      <c r="I148" s="5"/>
    </row>
    <row r="149" spans="1:9" x14ac:dyDescent="0.25">
      <c r="A149" s="18"/>
      <c r="B149" s="5"/>
      <c r="C149" s="2" t="str">
        <f>IF(B149="","",IFERROR(INDEX(INVENTARIO!$B:$B,MATCH(B149,INVENTARIO!$A:$A,0)),"No encontrado"))</f>
        <v/>
      </c>
      <c r="D149" s="2" t="str">
        <f>IF(B149="","",IFERROR(INDEX(INVENTARIO!$C:$C,MATCH(B149,INVENTARIO!$A:$A,0)),""))</f>
        <v/>
      </c>
      <c r="E149" s="2" t="str">
        <f>IF(B149="","",IFERROR(INDEX(INVENTARIO!$D:$D,MATCH(B149,INVENTARIO!$A:$A,0)),""))</f>
        <v/>
      </c>
      <c r="F149" s="10"/>
      <c r="G149" s="9" t="str">
        <f>IF(B149="","",IFERROR(INDEX(INVENTARIO!$F:$F,MATCH(B149,INVENTARIO!$A:$A,0)),""))</f>
        <v/>
      </c>
      <c r="H149" s="19" t="str">
        <f t="shared" si="4"/>
        <v/>
      </c>
      <c r="I149" s="5"/>
    </row>
    <row r="150" spans="1:9" x14ac:dyDescent="0.25">
      <c r="A150" s="18"/>
      <c r="B150" s="5"/>
      <c r="C150" s="2" t="str">
        <f>IF(B150="","",IFERROR(INDEX(INVENTARIO!$B:$B,MATCH(B150,INVENTARIO!$A:$A,0)),"No encontrado"))</f>
        <v/>
      </c>
      <c r="D150" s="2" t="str">
        <f>IF(B150="","",IFERROR(INDEX(INVENTARIO!$C:$C,MATCH(B150,INVENTARIO!$A:$A,0)),""))</f>
        <v/>
      </c>
      <c r="E150" s="2" t="str">
        <f>IF(B150="","",IFERROR(INDEX(INVENTARIO!$D:$D,MATCH(B150,INVENTARIO!$A:$A,0)),""))</f>
        <v/>
      </c>
      <c r="F150" s="10"/>
      <c r="G150" s="9" t="str">
        <f>IF(B150="","",IFERROR(INDEX(INVENTARIO!$F:$F,MATCH(B150,INVENTARIO!$A:$A,0)),""))</f>
        <v/>
      </c>
      <c r="H150" s="19" t="str">
        <f t="shared" si="4"/>
        <v/>
      </c>
      <c r="I150" s="5"/>
    </row>
    <row r="151" spans="1:9" x14ac:dyDescent="0.25">
      <c r="A151" s="18"/>
      <c r="B151" s="5"/>
      <c r="C151" s="2" t="str">
        <f>IF(B151="","",IFERROR(INDEX(INVENTARIO!$B:$B,MATCH(B151,INVENTARIO!$A:$A,0)),"No encontrado"))</f>
        <v/>
      </c>
      <c r="D151" s="2" t="str">
        <f>IF(B151="","",IFERROR(INDEX(INVENTARIO!$C:$C,MATCH(B151,INVENTARIO!$A:$A,0)),""))</f>
        <v/>
      </c>
      <c r="E151" s="2" t="str">
        <f>IF(B151="","",IFERROR(INDEX(INVENTARIO!$D:$D,MATCH(B151,INVENTARIO!$A:$A,0)),""))</f>
        <v/>
      </c>
      <c r="F151" s="10"/>
      <c r="G151" s="9" t="str">
        <f>IF(B151="","",IFERROR(INDEX(INVENTARIO!$F:$F,MATCH(B151,INVENTARIO!$A:$A,0)),""))</f>
        <v/>
      </c>
      <c r="H151" s="19" t="str">
        <f t="shared" si="4"/>
        <v/>
      </c>
      <c r="I151" s="5"/>
    </row>
    <row r="152" spans="1:9" x14ac:dyDescent="0.25">
      <c r="A152" s="18"/>
      <c r="B152" s="5"/>
      <c r="C152" s="2" t="str">
        <f>IF(B152="","",IFERROR(INDEX(INVENTARIO!$B:$B,MATCH(B152,INVENTARIO!$A:$A,0)),"No encontrado"))</f>
        <v/>
      </c>
      <c r="D152" s="2" t="str">
        <f>IF(B152="","",IFERROR(INDEX(INVENTARIO!$C:$C,MATCH(B152,INVENTARIO!$A:$A,0)),""))</f>
        <v/>
      </c>
      <c r="E152" s="2" t="str">
        <f>IF(B152="","",IFERROR(INDEX(INVENTARIO!$D:$D,MATCH(B152,INVENTARIO!$A:$A,0)),""))</f>
        <v/>
      </c>
      <c r="F152" s="10"/>
      <c r="G152" s="9" t="str">
        <f>IF(B152="","",IFERROR(INDEX(INVENTARIO!$F:$F,MATCH(B152,INVENTARIO!$A:$A,0)),""))</f>
        <v/>
      </c>
      <c r="H152" s="19" t="str">
        <f t="shared" si="4"/>
        <v/>
      </c>
      <c r="I152" s="5"/>
    </row>
    <row r="153" spans="1:9" x14ac:dyDescent="0.25">
      <c r="A153" s="18"/>
      <c r="B153" s="5"/>
      <c r="C153" s="2" t="str">
        <f>IF(B153="","",IFERROR(INDEX(INVENTARIO!$B:$B,MATCH(B153,INVENTARIO!$A:$A,0)),"No encontrado"))</f>
        <v/>
      </c>
      <c r="D153" s="2" t="str">
        <f>IF(B153="","",IFERROR(INDEX(INVENTARIO!$C:$C,MATCH(B153,INVENTARIO!$A:$A,0)),""))</f>
        <v/>
      </c>
      <c r="E153" s="2" t="str">
        <f>IF(B153="","",IFERROR(INDEX(INVENTARIO!$D:$D,MATCH(B153,INVENTARIO!$A:$A,0)),""))</f>
        <v/>
      </c>
      <c r="F153" s="10"/>
      <c r="G153" s="9" t="str">
        <f>IF(B153="","",IFERROR(INDEX(INVENTARIO!$F:$F,MATCH(B153,INVENTARIO!$A:$A,0)),""))</f>
        <v/>
      </c>
      <c r="H153" s="19" t="str">
        <f t="shared" si="4"/>
        <v/>
      </c>
      <c r="I153" s="5"/>
    </row>
    <row r="154" spans="1:9" x14ac:dyDescent="0.25">
      <c r="A154" s="18"/>
      <c r="B154" s="5"/>
      <c r="C154" s="2" t="str">
        <f>IF(B154="","",IFERROR(INDEX(INVENTARIO!$B:$B,MATCH(B154,INVENTARIO!$A:$A,0)),"No encontrado"))</f>
        <v/>
      </c>
      <c r="D154" s="2" t="str">
        <f>IF(B154="","",IFERROR(INDEX(INVENTARIO!$C:$C,MATCH(B154,INVENTARIO!$A:$A,0)),""))</f>
        <v/>
      </c>
      <c r="E154" s="2" t="str">
        <f>IF(B154="","",IFERROR(INDEX(INVENTARIO!$D:$D,MATCH(B154,INVENTARIO!$A:$A,0)),""))</f>
        <v/>
      </c>
      <c r="F154" s="10"/>
      <c r="G154" s="9" t="str">
        <f>IF(B154="","",IFERROR(INDEX(INVENTARIO!$F:$F,MATCH(B154,INVENTARIO!$A:$A,0)),""))</f>
        <v/>
      </c>
      <c r="H154" s="19" t="str">
        <f t="shared" si="4"/>
        <v/>
      </c>
      <c r="I154" s="5"/>
    </row>
    <row r="155" spans="1:9" x14ac:dyDescent="0.25">
      <c r="A155" s="18"/>
      <c r="B155" s="5"/>
      <c r="C155" s="2" t="str">
        <f>IF(B155="","",IFERROR(INDEX(INVENTARIO!$B:$B,MATCH(B155,INVENTARIO!$A:$A,0)),"No encontrado"))</f>
        <v/>
      </c>
      <c r="D155" s="2" t="str">
        <f>IF(B155="","",IFERROR(INDEX(INVENTARIO!$C:$C,MATCH(B155,INVENTARIO!$A:$A,0)),""))</f>
        <v/>
      </c>
      <c r="E155" s="2" t="str">
        <f>IF(B155="","",IFERROR(INDEX(INVENTARIO!$D:$D,MATCH(B155,INVENTARIO!$A:$A,0)),""))</f>
        <v/>
      </c>
      <c r="F155" s="10"/>
      <c r="G155" s="9" t="str">
        <f>IF(B155="","",IFERROR(INDEX(INVENTARIO!$F:$F,MATCH(B155,INVENTARIO!$A:$A,0)),""))</f>
        <v/>
      </c>
      <c r="H155" s="19" t="str">
        <f t="shared" si="4"/>
        <v/>
      </c>
      <c r="I155" s="5"/>
    </row>
    <row r="156" spans="1:9" x14ac:dyDescent="0.25">
      <c r="A156" s="18"/>
      <c r="B156" s="5"/>
      <c r="C156" s="2" t="str">
        <f>IF(B156="","",IFERROR(INDEX(INVENTARIO!$B:$B,MATCH(B156,INVENTARIO!$A:$A,0)),"No encontrado"))</f>
        <v/>
      </c>
      <c r="D156" s="2" t="str">
        <f>IF(B156="","",IFERROR(INDEX(INVENTARIO!$C:$C,MATCH(B156,INVENTARIO!$A:$A,0)),""))</f>
        <v/>
      </c>
      <c r="E156" s="2" t="str">
        <f>IF(B156="","",IFERROR(INDEX(INVENTARIO!$D:$D,MATCH(B156,INVENTARIO!$A:$A,0)),""))</f>
        <v/>
      </c>
      <c r="F156" s="10"/>
      <c r="G156" s="9" t="str">
        <f>IF(B156="","",IFERROR(INDEX(INVENTARIO!$F:$F,MATCH(B156,INVENTARIO!$A:$A,0)),""))</f>
        <v/>
      </c>
      <c r="H156" s="19" t="str">
        <f t="shared" si="4"/>
        <v/>
      </c>
      <c r="I156" s="5"/>
    </row>
    <row r="157" spans="1:9" x14ac:dyDescent="0.25">
      <c r="A157" s="18"/>
      <c r="B157" s="5"/>
      <c r="C157" s="2" t="str">
        <f>IF(B157="","",IFERROR(INDEX(INVENTARIO!$B:$B,MATCH(B157,INVENTARIO!$A:$A,0)),"No encontrado"))</f>
        <v/>
      </c>
      <c r="D157" s="2" t="str">
        <f>IF(B157="","",IFERROR(INDEX(INVENTARIO!$C:$C,MATCH(B157,INVENTARIO!$A:$A,0)),""))</f>
        <v/>
      </c>
      <c r="E157" s="2" t="str">
        <f>IF(B157="","",IFERROR(INDEX(INVENTARIO!$D:$D,MATCH(B157,INVENTARIO!$A:$A,0)),""))</f>
        <v/>
      </c>
      <c r="F157" s="10"/>
      <c r="G157" s="9" t="str">
        <f>IF(B157="","",IFERROR(INDEX(INVENTARIO!$F:$F,MATCH(B157,INVENTARIO!$A:$A,0)),""))</f>
        <v/>
      </c>
      <c r="H157" s="19" t="str">
        <f t="shared" si="4"/>
        <v/>
      </c>
      <c r="I157" s="5"/>
    </row>
    <row r="158" spans="1:9" x14ac:dyDescent="0.25">
      <c r="A158" s="18"/>
      <c r="B158" s="5"/>
      <c r="C158" s="2" t="str">
        <f>IF(B158="","",IFERROR(INDEX(INVENTARIO!$B:$B,MATCH(B158,INVENTARIO!$A:$A,0)),"No encontrado"))</f>
        <v/>
      </c>
      <c r="D158" s="2" t="str">
        <f>IF(B158="","",IFERROR(INDEX(INVENTARIO!$C:$C,MATCH(B158,INVENTARIO!$A:$A,0)),""))</f>
        <v/>
      </c>
      <c r="E158" s="2" t="str">
        <f>IF(B158="","",IFERROR(INDEX(INVENTARIO!$D:$D,MATCH(B158,INVENTARIO!$A:$A,0)),""))</f>
        <v/>
      </c>
      <c r="F158" s="10"/>
      <c r="G158" s="9" t="str">
        <f>IF(B158="","",IFERROR(INDEX(INVENTARIO!$F:$F,MATCH(B158,INVENTARIO!$A:$A,0)),""))</f>
        <v/>
      </c>
      <c r="H158" s="19" t="str">
        <f t="shared" si="4"/>
        <v/>
      </c>
      <c r="I158" s="5"/>
    </row>
    <row r="159" spans="1:9" x14ac:dyDescent="0.25">
      <c r="A159" s="18"/>
      <c r="B159" s="5"/>
      <c r="C159" s="2" t="str">
        <f>IF(B159="","",IFERROR(INDEX(INVENTARIO!$B:$B,MATCH(B159,INVENTARIO!$A:$A,0)),"No encontrado"))</f>
        <v/>
      </c>
      <c r="D159" s="2" t="str">
        <f>IF(B159="","",IFERROR(INDEX(INVENTARIO!$C:$C,MATCH(B159,INVENTARIO!$A:$A,0)),""))</f>
        <v/>
      </c>
      <c r="E159" s="2" t="str">
        <f>IF(B159="","",IFERROR(INDEX(INVENTARIO!$D:$D,MATCH(B159,INVENTARIO!$A:$A,0)),""))</f>
        <v/>
      </c>
      <c r="F159" s="10"/>
      <c r="G159" s="9" t="str">
        <f>IF(B159="","",IFERROR(INDEX(INVENTARIO!$F:$F,MATCH(B159,INVENTARIO!$A:$A,0)),""))</f>
        <v/>
      </c>
      <c r="H159" s="19" t="str">
        <f t="shared" si="4"/>
        <v/>
      </c>
      <c r="I159" s="5"/>
    </row>
    <row r="160" spans="1:9" x14ac:dyDescent="0.25">
      <c r="A160" s="18"/>
      <c r="B160" s="5"/>
      <c r="C160" s="2" t="str">
        <f>IF(B160="","",IFERROR(INDEX(INVENTARIO!$B:$B,MATCH(B160,INVENTARIO!$A:$A,0)),"No encontrado"))</f>
        <v/>
      </c>
      <c r="D160" s="2" t="str">
        <f>IF(B160="","",IFERROR(INDEX(INVENTARIO!$C:$C,MATCH(B160,INVENTARIO!$A:$A,0)),""))</f>
        <v/>
      </c>
      <c r="E160" s="2" t="str">
        <f>IF(B160="","",IFERROR(INDEX(INVENTARIO!$D:$D,MATCH(B160,INVENTARIO!$A:$A,0)),""))</f>
        <v/>
      </c>
      <c r="F160" s="10"/>
      <c r="G160" s="9" t="str">
        <f>IF(B160="","",IFERROR(INDEX(INVENTARIO!$F:$F,MATCH(B160,INVENTARIO!$A:$A,0)),""))</f>
        <v/>
      </c>
      <c r="H160" s="19" t="str">
        <f t="shared" si="4"/>
        <v/>
      </c>
      <c r="I160" s="5"/>
    </row>
    <row r="161" spans="1:9" x14ac:dyDescent="0.25">
      <c r="A161" s="18"/>
      <c r="B161" s="5"/>
      <c r="C161" s="2" t="str">
        <f>IF(B161="","",IFERROR(INDEX(INVENTARIO!$B:$B,MATCH(B161,INVENTARIO!$A:$A,0)),"No encontrado"))</f>
        <v/>
      </c>
      <c r="D161" s="2" t="str">
        <f>IF(B161="","",IFERROR(INDEX(INVENTARIO!$C:$C,MATCH(B161,INVENTARIO!$A:$A,0)),""))</f>
        <v/>
      </c>
      <c r="E161" s="2" t="str">
        <f>IF(B161="","",IFERROR(INDEX(INVENTARIO!$D:$D,MATCH(B161,INVENTARIO!$A:$A,0)),""))</f>
        <v/>
      </c>
      <c r="F161" s="10"/>
      <c r="G161" s="9" t="str">
        <f>IF(B161="","",IFERROR(INDEX(INVENTARIO!$F:$F,MATCH(B161,INVENTARIO!$A:$A,0)),""))</f>
        <v/>
      </c>
      <c r="H161" s="19" t="str">
        <f t="shared" si="4"/>
        <v/>
      </c>
      <c r="I161" s="5"/>
    </row>
    <row r="162" spans="1:9" x14ac:dyDescent="0.25">
      <c r="A162" s="18"/>
      <c r="B162" s="5"/>
      <c r="C162" s="2" t="str">
        <f>IF(B162="","",IFERROR(INDEX(INVENTARIO!$B:$B,MATCH(B162,INVENTARIO!$A:$A,0)),"No encontrado"))</f>
        <v/>
      </c>
      <c r="D162" s="2" t="str">
        <f>IF(B162="","",IFERROR(INDEX(INVENTARIO!$C:$C,MATCH(B162,INVENTARIO!$A:$A,0)),""))</f>
        <v/>
      </c>
      <c r="E162" s="2" t="str">
        <f>IF(B162="","",IFERROR(INDEX(INVENTARIO!$D:$D,MATCH(B162,INVENTARIO!$A:$A,0)),""))</f>
        <v/>
      </c>
      <c r="F162" s="10"/>
      <c r="G162" s="9" t="str">
        <f>IF(B162="","",IFERROR(INDEX(INVENTARIO!$F:$F,MATCH(B162,INVENTARIO!$A:$A,0)),""))</f>
        <v/>
      </c>
      <c r="H162" s="19" t="str">
        <f t="shared" si="4"/>
        <v/>
      </c>
      <c r="I162" s="5"/>
    </row>
    <row r="163" spans="1:9" x14ac:dyDescent="0.25">
      <c r="A163" s="18"/>
      <c r="B163" s="5"/>
      <c r="C163" s="2" t="str">
        <f>IF(B163="","",IFERROR(INDEX(INVENTARIO!$B:$B,MATCH(B163,INVENTARIO!$A:$A,0)),"No encontrado"))</f>
        <v/>
      </c>
      <c r="D163" s="2" t="str">
        <f>IF(B163="","",IFERROR(INDEX(INVENTARIO!$C:$C,MATCH(B163,INVENTARIO!$A:$A,0)),""))</f>
        <v/>
      </c>
      <c r="E163" s="2" t="str">
        <f>IF(B163="","",IFERROR(INDEX(INVENTARIO!$D:$D,MATCH(B163,INVENTARIO!$A:$A,0)),""))</f>
        <v/>
      </c>
      <c r="F163" s="10"/>
      <c r="G163" s="9" t="str">
        <f>IF(B163="","",IFERROR(INDEX(INVENTARIO!$F:$F,MATCH(B163,INVENTARIO!$A:$A,0)),""))</f>
        <v/>
      </c>
      <c r="H163" s="19" t="str">
        <f t="shared" si="4"/>
        <v/>
      </c>
      <c r="I163" s="5"/>
    </row>
    <row r="164" spans="1:9" x14ac:dyDescent="0.25">
      <c r="A164" s="18"/>
      <c r="B164" s="5"/>
      <c r="C164" s="2" t="str">
        <f>IF(B164="","",IFERROR(INDEX(INVENTARIO!$B:$B,MATCH(B164,INVENTARIO!$A:$A,0)),"No encontrado"))</f>
        <v/>
      </c>
      <c r="D164" s="2" t="str">
        <f>IF(B164="","",IFERROR(INDEX(INVENTARIO!$C:$C,MATCH(B164,INVENTARIO!$A:$A,0)),""))</f>
        <v/>
      </c>
      <c r="E164" s="2" t="str">
        <f>IF(B164="","",IFERROR(INDEX(INVENTARIO!$D:$D,MATCH(B164,INVENTARIO!$A:$A,0)),""))</f>
        <v/>
      </c>
      <c r="F164" s="10"/>
      <c r="G164" s="9" t="str">
        <f>IF(B164="","",IFERROR(INDEX(INVENTARIO!$F:$F,MATCH(B164,INVENTARIO!$A:$A,0)),""))</f>
        <v/>
      </c>
      <c r="H164" s="19" t="str">
        <f t="shared" si="4"/>
        <v/>
      </c>
      <c r="I164" s="5"/>
    </row>
    <row r="165" spans="1:9" x14ac:dyDescent="0.25">
      <c r="A165" s="18"/>
      <c r="B165" s="5"/>
      <c r="C165" s="2" t="str">
        <f>IF(B165="","",IFERROR(INDEX(INVENTARIO!$B:$B,MATCH(B165,INVENTARIO!$A:$A,0)),"No encontrado"))</f>
        <v/>
      </c>
      <c r="D165" s="2" t="str">
        <f>IF(B165="","",IFERROR(INDEX(INVENTARIO!$C:$C,MATCH(B165,INVENTARIO!$A:$A,0)),""))</f>
        <v/>
      </c>
      <c r="E165" s="2" t="str">
        <f>IF(B165="","",IFERROR(INDEX(INVENTARIO!$D:$D,MATCH(B165,INVENTARIO!$A:$A,0)),""))</f>
        <v/>
      </c>
      <c r="F165" s="10"/>
      <c r="G165" s="9" t="str">
        <f>IF(B165="","",IFERROR(INDEX(INVENTARIO!$F:$F,MATCH(B165,INVENTARIO!$A:$A,0)),""))</f>
        <v/>
      </c>
      <c r="H165" s="19" t="str">
        <f t="shared" ref="H165:H196" si="5">IF(B165="","",G165*F165)</f>
        <v/>
      </c>
      <c r="I165" s="5"/>
    </row>
    <row r="166" spans="1:9" x14ac:dyDescent="0.25">
      <c r="A166" s="18"/>
      <c r="B166" s="5"/>
      <c r="C166" s="2" t="str">
        <f>IF(B166="","",IFERROR(INDEX(INVENTARIO!$B:$B,MATCH(B166,INVENTARIO!$A:$A,0)),"No encontrado"))</f>
        <v/>
      </c>
      <c r="D166" s="2" t="str">
        <f>IF(B166="","",IFERROR(INDEX(INVENTARIO!$C:$C,MATCH(B166,INVENTARIO!$A:$A,0)),""))</f>
        <v/>
      </c>
      <c r="E166" s="2" t="str">
        <f>IF(B166="","",IFERROR(INDEX(INVENTARIO!$D:$D,MATCH(B166,INVENTARIO!$A:$A,0)),""))</f>
        <v/>
      </c>
      <c r="F166" s="10"/>
      <c r="G166" s="9" t="str">
        <f>IF(B166="","",IFERROR(INDEX(INVENTARIO!$F:$F,MATCH(B166,INVENTARIO!$A:$A,0)),""))</f>
        <v/>
      </c>
      <c r="H166" s="19" t="str">
        <f t="shared" si="5"/>
        <v/>
      </c>
      <c r="I166" s="5"/>
    </row>
    <row r="167" spans="1:9" x14ac:dyDescent="0.25">
      <c r="A167" s="18"/>
      <c r="B167" s="5"/>
      <c r="C167" s="2" t="str">
        <f>IF(B167="","",IFERROR(INDEX(INVENTARIO!$B:$B,MATCH(B167,INVENTARIO!$A:$A,0)),"No encontrado"))</f>
        <v/>
      </c>
      <c r="D167" s="2" t="str">
        <f>IF(B167="","",IFERROR(INDEX(INVENTARIO!$C:$C,MATCH(B167,INVENTARIO!$A:$A,0)),""))</f>
        <v/>
      </c>
      <c r="E167" s="2" t="str">
        <f>IF(B167="","",IFERROR(INDEX(INVENTARIO!$D:$D,MATCH(B167,INVENTARIO!$A:$A,0)),""))</f>
        <v/>
      </c>
      <c r="F167" s="10"/>
      <c r="G167" s="9" t="str">
        <f>IF(B167="","",IFERROR(INDEX(INVENTARIO!$F:$F,MATCH(B167,INVENTARIO!$A:$A,0)),""))</f>
        <v/>
      </c>
      <c r="H167" s="19" t="str">
        <f t="shared" si="5"/>
        <v/>
      </c>
      <c r="I167" s="5"/>
    </row>
    <row r="168" spans="1:9" x14ac:dyDescent="0.25">
      <c r="A168" s="18"/>
      <c r="B168" s="5"/>
      <c r="C168" s="2" t="str">
        <f>IF(B168="","",IFERROR(INDEX(INVENTARIO!$B:$B,MATCH(B168,INVENTARIO!$A:$A,0)),"No encontrado"))</f>
        <v/>
      </c>
      <c r="D168" s="2" t="str">
        <f>IF(B168="","",IFERROR(INDEX(INVENTARIO!$C:$C,MATCH(B168,INVENTARIO!$A:$A,0)),""))</f>
        <v/>
      </c>
      <c r="E168" s="2" t="str">
        <f>IF(B168="","",IFERROR(INDEX(INVENTARIO!$D:$D,MATCH(B168,INVENTARIO!$A:$A,0)),""))</f>
        <v/>
      </c>
      <c r="F168" s="10"/>
      <c r="G168" s="9" t="str">
        <f>IF(B168="","",IFERROR(INDEX(INVENTARIO!$F:$F,MATCH(B168,INVENTARIO!$A:$A,0)),""))</f>
        <v/>
      </c>
      <c r="H168" s="19" t="str">
        <f t="shared" si="5"/>
        <v/>
      </c>
      <c r="I168" s="5"/>
    </row>
    <row r="169" spans="1:9" x14ac:dyDescent="0.25">
      <c r="A169" s="18"/>
      <c r="B169" s="5"/>
      <c r="C169" s="2" t="str">
        <f>IF(B169="","",IFERROR(INDEX(INVENTARIO!$B:$B,MATCH(B169,INVENTARIO!$A:$A,0)),"No encontrado"))</f>
        <v/>
      </c>
      <c r="D169" s="2" t="str">
        <f>IF(B169="","",IFERROR(INDEX(INVENTARIO!$C:$C,MATCH(B169,INVENTARIO!$A:$A,0)),""))</f>
        <v/>
      </c>
      <c r="E169" s="2" t="str">
        <f>IF(B169="","",IFERROR(INDEX(INVENTARIO!$D:$D,MATCH(B169,INVENTARIO!$A:$A,0)),""))</f>
        <v/>
      </c>
      <c r="F169" s="10"/>
      <c r="G169" s="9" t="str">
        <f>IF(B169="","",IFERROR(INDEX(INVENTARIO!$F:$F,MATCH(B169,INVENTARIO!$A:$A,0)),""))</f>
        <v/>
      </c>
      <c r="H169" s="19" t="str">
        <f t="shared" si="5"/>
        <v/>
      </c>
      <c r="I169" s="5"/>
    </row>
    <row r="170" spans="1:9" x14ac:dyDescent="0.25">
      <c r="A170" s="18"/>
      <c r="B170" s="5"/>
      <c r="C170" s="2" t="str">
        <f>IF(B170="","",IFERROR(INDEX(INVENTARIO!$B:$B,MATCH(B170,INVENTARIO!$A:$A,0)),"No encontrado"))</f>
        <v/>
      </c>
      <c r="D170" s="2" t="str">
        <f>IF(B170="","",IFERROR(INDEX(INVENTARIO!$C:$C,MATCH(B170,INVENTARIO!$A:$A,0)),""))</f>
        <v/>
      </c>
      <c r="E170" s="2" t="str">
        <f>IF(B170="","",IFERROR(INDEX(INVENTARIO!$D:$D,MATCH(B170,INVENTARIO!$A:$A,0)),""))</f>
        <v/>
      </c>
      <c r="F170" s="10"/>
      <c r="G170" s="9" t="str">
        <f>IF(B170="","",IFERROR(INDEX(INVENTARIO!$F:$F,MATCH(B170,INVENTARIO!$A:$A,0)),""))</f>
        <v/>
      </c>
      <c r="H170" s="19" t="str">
        <f t="shared" si="5"/>
        <v/>
      </c>
      <c r="I170" s="5"/>
    </row>
    <row r="171" spans="1:9" x14ac:dyDescent="0.25">
      <c r="A171" s="18"/>
      <c r="B171" s="5"/>
      <c r="C171" s="2" t="str">
        <f>IF(B171="","",IFERROR(INDEX(INVENTARIO!$B:$B,MATCH(B171,INVENTARIO!$A:$A,0)),"No encontrado"))</f>
        <v/>
      </c>
      <c r="D171" s="2" t="str">
        <f>IF(B171="","",IFERROR(INDEX(INVENTARIO!$C:$C,MATCH(B171,INVENTARIO!$A:$A,0)),""))</f>
        <v/>
      </c>
      <c r="E171" s="2" t="str">
        <f>IF(B171="","",IFERROR(INDEX(INVENTARIO!$D:$D,MATCH(B171,INVENTARIO!$A:$A,0)),""))</f>
        <v/>
      </c>
      <c r="F171" s="10"/>
      <c r="G171" s="9" t="str">
        <f>IF(B171="","",IFERROR(INDEX(INVENTARIO!$F:$F,MATCH(B171,INVENTARIO!$A:$A,0)),""))</f>
        <v/>
      </c>
      <c r="H171" s="19" t="str">
        <f t="shared" si="5"/>
        <v/>
      </c>
      <c r="I171" s="5"/>
    </row>
    <row r="172" spans="1:9" x14ac:dyDescent="0.25">
      <c r="A172" s="18"/>
      <c r="B172" s="5"/>
      <c r="C172" s="2" t="str">
        <f>IF(B172="","",IFERROR(INDEX(INVENTARIO!$B:$B,MATCH(B172,INVENTARIO!$A:$A,0)),"No encontrado"))</f>
        <v/>
      </c>
      <c r="D172" s="2" t="str">
        <f>IF(B172="","",IFERROR(INDEX(INVENTARIO!$C:$C,MATCH(B172,INVENTARIO!$A:$A,0)),""))</f>
        <v/>
      </c>
      <c r="E172" s="2" t="str">
        <f>IF(B172="","",IFERROR(INDEX(INVENTARIO!$D:$D,MATCH(B172,INVENTARIO!$A:$A,0)),""))</f>
        <v/>
      </c>
      <c r="F172" s="10"/>
      <c r="G172" s="9" t="str">
        <f>IF(B172="","",IFERROR(INDEX(INVENTARIO!$F:$F,MATCH(B172,INVENTARIO!$A:$A,0)),""))</f>
        <v/>
      </c>
      <c r="H172" s="19" t="str">
        <f t="shared" si="5"/>
        <v/>
      </c>
      <c r="I172" s="5"/>
    </row>
    <row r="173" spans="1:9" x14ac:dyDescent="0.25">
      <c r="A173" s="18"/>
      <c r="B173" s="5"/>
      <c r="C173" s="2" t="str">
        <f>IF(B173="","",IFERROR(INDEX(INVENTARIO!$B:$B,MATCH(B173,INVENTARIO!$A:$A,0)),"No encontrado"))</f>
        <v/>
      </c>
      <c r="D173" s="2" t="str">
        <f>IF(B173="","",IFERROR(INDEX(INVENTARIO!$C:$C,MATCH(B173,INVENTARIO!$A:$A,0)),""))</f>
        <v/>
      </c>
      <c r="E173" s="2" t="str">
        <f>IF(B173="","",IFERROR(INDEX(INVENTARIO!$D:$D,MATCH(B173,INVENTARIO!$A:$A,0)),""))</f>
        <v/>
      </c>
      <c r="F173" s="10"/>
      <c r="G173" s="9" t="str">
        <f>IF(B173="","",IFERROR(INDEX(INVENTARIO!$F:$F,MATCH(B173,INVENTARIO!$A:$A,0)),""))</f>
        <v/>
      </c>
      <c r="H173" s="19" t="str">
        <f t="shared" si="5"/>
        <v/>
      </c>
      <c r="I173" s="5"/>
    </row>
    <row r="174" spans="1:9" x14ac:dyDescent="0.25">
      <c r="A174" s="18"/>
      <c r="B174" s="5"/>
      <c r="C174" s="2" t="str">
        <f>IF(B174="","",IFERROR(INDEX(INVENTARIO!$B:$B,MATCH(B174,INVENTARIO!$A:$A,0)),"No encontrado"))</f>
        <v/>
      </c>
      <c r="D174" s="2" t="str">
        <f>IF(B174="","",IFERROR(INDEX(INVENTARIO!$C:$C,MATCH(B174,INVENTARIO!$A:$A,0)),""))</f>
        <v/>
      </c>
      <c r="E174" s="2" t="str">
        <f>IF(B174="","",IFERROR(INDEX(INVENTARIO!$D:$D,MATCH(B174,INVENTARIO!$A:$A,0)),""))</f>
        <v/>
      </c>
      <c r="F174" s="10"/>
      <c r="G174" s="9" t="str">
        <f>IF(B174="","",IFERROR(INDEX(INVENTARIO!$F:$F,MATCH(B174,INVENTARIO!$A:$A,0)),""))</f>
        <v/>
      </c>
      <c r="H174" s="19" t="str">
        <f t="shared" si="5"/>
        <v/>
      </c>
      <c r="I174" s="5"/>
    </row>
    <row r="175" spans="1:9" x14ac:dyDescent="0.25">
      <c r="A175" s="18"/>
      <c r="B175" s="5"/>
      <c r="C175" s="2" t="str">
        <f>IF(B175="","",IFERROR(INDEX(INVENTARIO!$B:$B,MATCH(B175,INVENTARIO!$A:$A,0)),"No encontrado"))</f>
        <v/>
      </c>
      <c r="D175" s="2" t="str">
        <f>IF(B175="","",IFERROR(INDEX(INVENTARIO!$C:$C,MATCH(B175,INVENTARIO!$A:$A,0)),""))</f>
        <v/>
      </c>
      <c r="E175" s="2" t="str">
        <f>IF(B175="","",IFERROR(INDEX(INVENTARIO!$D:$D,MATCH(B175,INVENTARIO!$A:$A,0)),""))</f>
        <v/>
      </c>
      <c r="F175" s="10"/>
      <c r="G175" s="9" t="str">
        <f>IF(B175="","",IFERROR(INDEX(INVENTARIO!$F:$F,MATCH(B175,INVENTARIO!$A:$A,0)),""))</f>
        <v/>
      </c>
      <c r="H175" s="19" t="str">
        <f t="shared" si="5"/>
        <v/>
      </c>
      <c r="I175" s="5"/>
    </row>
    <row r="176" spans="1:9" x14ac:dyDescent="0.25">
      <c r="A176" s="18"/>
      <c r="B176" s="5"/>
      <c r="C176" s="2" t="str">
        <f>IF(B176="","",IFERROR(INDEX(INVENTARIO!$B:$B,MATCH(B176,INVENTARIO!$A:$A,0)),"No encontrado"))</f>
        <v/>
      </c>
      <c r="D176" s="2" t="str">
        <f>IF(B176="","",IFERROR(INDEX(INVENTARIO!$C:$C,MATCH(B176,INVENTARIO!$A:$A,0)),""))</f>
        <v/>
      </c>
      <c r="E176" s="2" t="str">
        <f>IF(B176="","",IFERROR(INDEX(INVENTARIO!$D:$D,MATCH(B176,INVENTARIO!$A:$A,0)),""))</f>
        <v/>
      </c>
      <c r="F176" s="10"/>
      <c r="G176" s="9" t="str">
        <f>IF(B176="","",IFERROR(INDEX(INVENTARIO!$F:$F,MATCH(B176,INVENTARIO!$A:$A,0)),""))</f>
        <v/>
      </c>
      <c r="H176" s="19" t="str">
        <f t="shared" si="5"/>
        <v/>
      </c>
      <c r="I176" s="5"/>
    </row>
    <row r="177" spans="1:9" x14ac:dyDescent="0.25">
      <c r="A177" s="18"/>
      <c r="B177" s="5"/>
      <c r="C177" s="2" t="str">
        <f>IF(B177="","",IFERROR(INDEX(INVENTARIO!$B:$B,MATCH(B177,INVENTARIO!$A:$A,0)),"No encontrado"))</f>
        <v/>
      </c>
      <c r="D177" s="2" t="str">
        <f>IF(B177="","",IFERROR(INDEX(INVENTARIO!$C:$C,MATCH(B177,INVENTARIO!$A:$A,0)),""))</f>
        <v/>
      </c>
      <c r="E177" s="2" t="str">
        <f>IF(B177="","",IFERROR(INDEX(INVENTARIO!$D:$D,MATCH(B177,INVENTARIO!$A:$A,0)),""))</f>
        <v/>
      </c>
      <c r="F177" s="10"/>
      <c r="G177" s="9" t="str">
        <f>IF(B177="","",IFERROR(INDEX(INVENTARIO!$F:$F,MATCH(B177,INVENTARIO!$A:$A,0)),""))</f>
        <v/>
      </c>
      <c r="H177" s="19" t="str">
        <f t="shared" si="5"/>
        <v/>
      </c>
      <c r="I177" s="5"/>
    </row>
    <row r="178" spans="1:9" x14ac:dyDescent="0.25">
      <c r="A178" s="18"/>
      <c r="B178" s="5"/>
      <c r="C178" s="2" t="str">
        <f>IF(B178="","",IFERROR(INDEX(INVENTARIO!$B:$B,MATCH(B178,INVENTARIO!$A:$A,0)),"No encontrado"))</f>
        <v/>
      </c>
      <c r="D178" s="2" t="str">
        <f>IF(B178="","",IFERROR(INDEX(INVENTARIO!$C:$C,MATCH(B178,INVENTARIO!$A:$A,0)),""))</f>
        <v/>
      </c>
      <c r="E178" s="2" t="str">
        <f>IF(B178="","",IFERROR(INDEX(INVENTARIO!$D:$D,MATCH(B178,INVENTARIO!$A:$A,0)),""))</f>
        <v/>
      </c>
      <c r="F178" s="10"/>
      <c r="G178" s="9" t="str">
        <f>IF(B178="","",IFERROR(INDEX(INVENTARIO!$F:$F,MATCH(B178,INVENTARIO!$A:$A,0)),""))</f>
        <v/>
      </c>
      <c r="H178" s="19" t="str">
        <f t="shared" si="5"/>
        <v/>
      </c>
      <c r="I178" s="5"/>
    </row>
    <row r="179" spans="1:9" x14ac:dyDescent="0.25">
      <c r="A179" s="18"/>
      <c r="B179" s="5"/>
      <c r="C179" s="2" t="str">
        <f>IF(B179="","",IFERROR(INDEX(INVENTARIO!$B:$B,MATCH(B179,INVENTARIO!$A:$A,0)),"No encontrado"))</f>
        <v/>
      </c>
      <c r="D179" s="2" t="str">
        <f>IF(B179="","",IFERROR(INDEX(INVENTARIO!$C:$C,MATCH(B179,INVENTARIO!$A:$A,0)),""))</f>
        <v/>
      </c>
      <c r="E179" s="2" t="str">
        <f>IF(B179="","",IFERROR(INDEX(INVENTARIO!$D:$D,MATCH(B179,INVENTARIO!$A:$A,0)),""))</f>
        <v/>
      </c>
      <c r="F179" s="10"/>
      <c r="G179" s="9" t="str">
        <f>IF(B179="","",IFERROR(INDEX(INVENTARIO!$F:$F,MATCH(B179,INVENTARIO!$A:$A,0)),""))</f>
        <v/>
      </c>
      <c r="H179" s="19" t="str">
        <f t="shared" si="5"/>
        <v/>
      </c>
      <c r="I179" s="5"/>
    </row>
    <row r="180" spans="1:9" x14ac:dyDescent="0.25">
      <c r="A180" s="18"/>
      <c r="B180" s="5"/>
      <c r="C180" s="2" t="str">
        <f>IF(B180="","",IFERROR(INDEX(INVENTARIO!$B:$B,MATCH(B180,INVENTARIO!$A:$A,0)),"No encontrado"))</f>
        <v/>
      </c>
      <c r="D180" s="2" t="str">
        <f>IF(B180="","",IFERROR(INDEX(INVENTARIO!$C:$C,MATCH(B180,INVENTARIO!$A:$A,0)),""))</f>
        <v/>
      </c>
      <c r="E180" s="2" t="str">
        <f>IF(B180="","",IFERROR(INDEX(INVENTARIO!$D:$D,MATCH(B180,INVENTARIO!$A:$A,0)),""))</f>
        <v/>
      </c>
      <c r="F180" s="10"/>
      <c r="G180" s="9" t="str">
        <f>IF(B180="","",IFERROR(INDEX(INVENTARIO!$F:$F,MATCH(B180,INVENTARIO!$A:$A,0)),""))</f>
        <v/>
      </c>
      <c r="H180" s="19" t="str">
        <f t="shared" si="5"/>
        <v/>
      </c>
      <c r="I180" s="5"/>
    </row>
    <row r="181" spans="1:9" x14ac:dyDescent="0.25">
      <c r="A181" s="18"/>
      <c r="B181" s="5"/>
      <c r="C181" s="2" t="str">
        <f>IF(B181="","",IFERROR(INDEX(INVENTARIO!$B:$B,MATCH(B181,INVENTARIO!$A:$A,0)),"No encontrado"))</f>
        <v/>
      </c>
      <c r="D181" s="2" t="str">
        <f>IF(B181="","",IFERROR(INDEX(INVENTARIO!$C:$C,MATCH(B181,INVENTARIO!$A:$A,0)),""))</f>
        <v/>
      </c>
      <c r="E181" s="2" t="str">
        <f>IF(B181="","",IFERROR(INDEX(INVENTARIO!$D:$D,MATCH(B181,INVENTARIO!$A:$A,0)),""))</f>
        <v/>
      </c>
      <c r="F181" s="10"/>
      <c r="G181" s="9" t="str">
        <f>IF(B181="","",IFERROR(INDEX(INVENTARIO!$F:$F,MATCH(B181,INVENTARIO!$A:$A,0)),""))</f>
        <v/>
      </c>
      <c r="H181" s="19" t="str">
        <f t="shared" si="5"/>
        <v/>
      </c>
      <c r="I181" s="5"/>
    </row>
    <row r="182" spans="1:9" x14ac:dyDescent="0.25">
      <c r="A182" s="18"/>
      <c r="B182" s="5"/>
      <c r="C182" s="2" t="str">
        <f>IF(B182="","",IFERROR(INDEX(INVENTARIO!$B:$B,MATCH(B182,INVENTARIO!$A:$A,0)),"No encontrado"))</f>
        <v/>
      </c>
      <c r="D182" s="2" t="str">
        <f>IF(B182="","",IFERROR(INDEX(INVENTARIO!$C:$C,MATCH(B182,INVENTARIO!$A:$A,0)),""))</f>
        <v/>
      </c>
      <c r="E182" s="2" t="str">
        <f>IF(B182="","",IFERROR(INDEX(INVENTARIO!$D:$D,MATCH(B182,INVENTARIO!$A:$A,0)),""))</f>
        <v/>
      </c>
      <c r="F182" s="10"/>
      <c r="G182" s="9" t="str">
        <f>IF(B182="","",IFERROR(INDEX(INVENTARIO!$F:$F,MATCH(B182,INVENTARIO!$A:$A,0)),""))</f>
        <v/>
      </c>
      <c r="H182" s="19" t="str">
        <f t="shared" si="5"/>
        <v/>
      </c>
      <c r="I182" s="5"/>
    </row>
    <row r="183" spans="1:9" x14ac:dyDescent="0.25">
      <c r="A183" s="18"/>
      <c r="B183" s="5"/>
      <c r="C183" s="2" t="str">
        <f>IF(B183="","",IFERROR(INDEX(INVENTARIO!$B:$B,MATCH(B183,INVENTARIO!$A:$A,0)),"No encontrado"))</f>
        <v/>
      </c>
      <c r="D183" s="2" t="str">
        <f>IF(B183="","",IFERROR(INDEX(INVENTARIO!$C:$C,MATCH(B183,INVENTARIO!$A:$A,0)),""))</f>
        <v/>
      </c>
      <c r="E183" s="2" t="str">
        <f>IF(B183="","",IFERROR(INDEX(INVENTARIO!$D:$D,MATCH(B183,INVENTARIO!$A:$A,0)),""))</f>
        <v/>
      </c>
      <c r="F183" s="10"/>
      <c r="G183" s="9" t="str">
        <f>IF(B183="","",IFERROR(INDEX(INVENTARIO!$F:$F,MATCH(B183,INVENTARIO!$A:$A,0)),""))</f>
        <v/>
      </c>
      <c r="H183" s="19" t="str">
        <f t="shared" si="5"/>
        <v/>
      </c>
      <c r="I183" s="5"/>
    </row>
    <row r="184" spans="1:9" x14ac:dyDescent="0.25">
      <c r="A184" s="18"/>
      <c r="B184" s="5"/>
      <c r="C184" s="2" t="str">
        <f>IF(B184="","",IFERROR(INDEX(INVENTARIO!$B:$B,MATCH(B184,INVENTARIO!$A:$A,0)),"No encontrado"))</f>
        <v/>
      </c>
      <c r="D184" s="2" t="str">
        <f>IF(B184="","",IFERROR(INDEX(INVENTARIO!$C:$C,MATCH(B184,INVENTARIO!$A:$A,0)),""))</f>
        <v/>
      </c>
      <c r="E184" s="2" t="str">
        <f>IF(B184="","",IFERROR(INDEX(INVENTARIO!$D:$D,MATCH(B184,INVENTARIO!$A:$A,0)),""))</f>
        <v/>
      </c>
      <c r="F184" s="10"/>
      <c r="G184" s="9" t="str">
        <f>IF(B184="","",IFERROR(INDEX(INVENTARIO!$F:$F,MATCH(B184,INVENTARIO!$A:$A,0)),""))</f>
        <v/>
      </c>
      <c r="H184" s="19" t="str">
        <f t="shared" si="5"/>
        <v/>
      </c>
      <c r="I184" s="5"/>
    </row>
    <row r="185" spans="1:9" x14ac:dyDescent="0.25">
      <c r="A185" s="18"/>
      <c r="B185" s="5"/>
      <c r="C185" s="2" t="str">
        <f>IF(B185="","",IFERROR(INDEX(INVENTARIO!$B:$B,MATCH(B185,INVENTARIO!$A:$A,0)),"No encontrado"))</f>
        <v/>
      </c>
      <c r="D185" s="2" t="str">
        <f>IF(B185="","",IFERROR(INDEX(INVENTARIO!$C:$C,MATCH(B185,INVENTARIO!$A:$A,0)),""))</f>
        <v/>
      </c>
      <c r="E185" s="2" t="str">
        <f>IF(B185="","",IFERROR(INDEX(INVENTARIO!$D:$D,MATCH(B185,INVENTARIO!$A:$A,0)),""))</f>
        <v/>
      </c>
      <c r="F185" s="10"/>
      <c r="G185" s="9" t="str">
        <f>IF(B185="","",IFERROR(INDEX(INVENTARIO!$F:$F,MATCH(B185,INVENTARIO!$A:$A,0)),""))</f>
        <v/>
      </c>
      <c r="H185" s="19" t="str">
        <f t="shared" si="5"/>
        <v/>
      </c>
      <c r="I185" s="5"/>
    </row>
    <row r="186" spans="1:9" x14ac:dyDescent="0.25">
      <c r="A186" s="18"/>
      <c r="B186" s="5"/>
      <c r="C186" s="2" t="str">
        <f>IF(B186="","",IFERROR(INDEX(INVENTARIO!$B:$B,MATCH(B186,INVENTARIO!$A:$A,0)),"No encontrado"))</f>
        <v/>
      </c>
      <c r="D186" s="2" t="str">
        <f>IF(B186="","",IFERROR(INDEX(INVENTARIO!$C:$C,MATCH(B186,INVENTARIO!$A:$A,0)),""))</f>
        <v/>
      </c>
      <c r="E186" s="2" t="str">
        <f>IF(B186="","",IFERROR(INDEX(INVENTARIO!$D:$D,MATCH(B186,INVENTARIO!$A:$A,0)),""))</f>
        <v/>
      </c>
      <c r="F186" s="10"/>
      <c r="G186" s="9" t="str">
        <f>IF(B186="","",IFERROR(INDEX(INVENTARIO!$F:$F,MATCH(B186,INVENTARIO!$A:$A,0)),""))</f>
        <v/>
      </c>
      <c r="H186" s="19" t="str">
        <f t="shared" si="5"/>
        <v/>
      </c>
      <c r="I186" s="5"/>
    </row>
    <row r="187" spans="1:9" x14ac:dyDescent="0.25">
      <c r="A187" s="18"/>
      <c r="B187" s="5"/>
      <c r="C187" s="2" t="str">
        <f>IF(B187="","",IFERROR(INDEX(INVENTARIO!$B:$B,MATCH(B187,INVENTARIO!$A:$A,0)),"No encontrado"))</f>
        <v/>
      </c>
      <c r="D187" s="2" t="str">
        <f>IF(B187="","",IFERROR(INDEX(INVENTARIO!$C:$C,MATCH(B187,INVENTARIO!$A:$A,0)),""))</f>
        <v/>
      </c>
      <c r="E187" s="2" t="str">
        <f>IF(B187="","",IFERROR(INDEX(INVENTARIO!$D:$D,MATCH(B187,INVENTARIO!$A:$A,0)),""))</f>
        <v/>
      </c>
      <c r="F187" s="10"/>
      <c r="G187" s="9" t="str">
        <f>IF(B187="","",IFERROR(INDEX(INVENTARIO!$F:$F,MATCH(B187,INVENTARIO!$A:$A,0)),""))</f>
        <v/>
      </c>
      <c r="H187" s="19" t="str">
        <f t="shared" si="5"/>
        <v/>
      </c>
      <c r="I187" s="5"/>
    </row>
    <row r="188" spans="1:9" x14ac:dyDescent="0.25">
      <c r="A188" s="18"/>
      <c r="B188" s="5"/>
      <c r="C188" s="2" t="str">
        <f>IF(B188="","",IFERROR(INDEX(INVENTARIO!$B:$B,MATCH(B188,INVENTARIO!$A:$A,0)),"No encontrado"))</f>
        <v/>
      </c>
      <c r="D188" s="2" t="str">
        <f>IF(B188="","",IFERROR(INDEX(INVENTARIO!$C:$C,MATCH(B188,INVENTARIO!$A:$A,0)),""))</f>
        <v/>
      </c>
      <c r="E188" s="2" t="str">
        <f>IF(B188="","",IFERROR(INDEX(INVENTARIO!$D:$D,MATCH(B188,INVENTARIO!$A:$A,0)),""))</f>
        <v/>
      </c>
      <c r="F188" s="10"/>
      <c r="G188" s="9" t="str">
        <f>IF(B188="","",IFERROR(INDEX(INVENTARIO!$F:$F,MATCH(B188,INVENTARIO!$A:$A,0)),""))</f>
        <v/>
      </c>
      <c r="H188" s="19" t="str">
        <f t="shared" si="5"/>
        <v/>
      </c>
      <c r="I188" s="5"/>
    </row>
    <row r="189" spans="1:9" x14ac:dyDescent="0.25">
      <c r="A189" s="18"/>
      <c r="B189" s="5"/>
      <c r="C189" s="2" t="str">
        <f>IF(B189="","",IFERROR(INDEX(INVENTARIO!$B:$B,MATCH(B189,INVENTARIO!$A:$A,0)),"No encontrado"))</f>
        <v/>
      </c>
      <c r="D189" s="2" t="str">
        <f>IF(B189="","",IFERROR(INDEX(INVENTARIO!$C:$C,MATCH(B189,INVENTARIO!$A:$A,0)),""))</f>
        <v/>
      </c>
      <c r="E189" s="2" t="str">
        <f>IF(B189="","",IFERROR(INDEX(INVENTARIO!$D:$D,MATCH(B189,INVENTARIO!$A:$A,0)),""))</f>
        <v/>
      </c>
      <c r="F189" s="10"/>
      <c r="G189" s="9" t="str">
        <f>IF(B189="","",IFERROR(INDEX(INVENTARIO!$F:$F,MATCH(B189,INVENTARIO!$A:$A,0)),""))</f>
        <v/>
      </c>
      <c r="H189" s="19" t="str">
        <f t="shared" si="5"/>
        <v/>
      </c>
      <c r="I189" s="5"/>
    </row>
    <row r="190" spans="1:9" x14ac:dyDescent="0.25">
      <c r="A190" s="18"/>
      <c r="B190" s="5"/>
      <c r="C190" s="2" t="str">
        <f>IF(B190="","",IFERROR(INDEX(INVENTARIO!$B:$B,MATCH(B190,INVENTARIO!$A:$A,0)),"No encontrado"))</f>
        <v/>
      </c>
      <c r="D190" s="2" t="str">
        <f>IF(B190="","",IFERROR(INDEX(INVENTARIO!$C:$C,MATCH(B190,INVENTARIO!$A:$A,0)),""))</f>
        <v/>
      </c>
      <c r="E190" s="2" t="str">
        <f>IF(B190="","",IFERROR(INDEX(INVENTARIO!$D:$D,MATCH(B190,INVENTARIO!$A:$A,0)),""))</f>
        <v/>
      </c>
      <c r="F190" s="10"/>
      <c r="G190" s="9" t="str">
        <f>IF(B190="","",IFERROR(INDEX(INVENTARIO!$F:$F,MATCH(B190,INVENTARIO!$A:$A,0)),""))</f>
        <v/>
      </c>
      <c r="H190" s="19" t="str">
        <f t="shared" si="5"/>
        <v/>
      </c>
      <c r="I190" s="5"/>
    </row>
    <row r="191" spans="1:9" x14ac:dyDescent="0.25">
      <c r="A191" s="18"/>
      <c r="B191" s="5"/>
      <c r="C191" s="2" t="str">
        <f>IF(B191="","",IFERROR(INDEX(INVENTARIO!$B:$B,MATCH(B191,INVENTARIO!$A:$A,0)),"No encontrado"))</f>
        <v/>
      </c>
      <c r="D191" s="2" t="str">
        <f>IF(B191="","",IFERROR(INDEX(INVENTARIO!$C:$C,MATCH(B191,INVENTARIO!$A:$A,0)),""))</f>
        <v/>
      </c>
      <c r="E191" s="2" t="str">
        <f>IF(B191="","",IFERROR(INDEX(INVENTARIO!$D:$D,MATCH(B191,INVENTARIO!$A:$A,0)),""))</f>
        <v/>
      </c>
      <c r="F191" s="10"/>
      <c r="G191" s="9" t="str">
        <f>IF(B191="","",IFERROR(INDEX(INVENTARIO!$F:$F,MATCH(B191,INVENTARIO!$A:$A,0)),""))</f>
        <v/>
      </c>
      <c r="H191" s="19" t="str">
        <f t="shared" si="5"/>
        <v/>
      </c>
      <c r="I191" s="5"/>
    </row>
    <row r="192" spans="1:9" x14ac:dyDescent="0.25">
      <c r="A192" s="18"/>
      <c r="B192" s="5"/>
      <c r="C192" s="2" t="str">
        <f>IF(B192="","",IFERROR(INDEX(INVENTARIO!$B:$B,MATCH(B192,INVENTARIO!$A:$A,0)),"No encontrado"))</f>
        <v/>
      </c>
      <c r="D192" s="2" t="str">
        <f>IF(B192="","",IFERROR(INDEX(INVENTARIO!$C:$C,MATCH(B192,INVENTARIO!$A:$A,0)),""))</f>
        <v/>
      </c>
      <c r="E192" s="2" t="str">
        <f>IF(B192="","",IFERROR(INDEX(INVENTARIO!$D:$D,MATCH(B192,INVENTARIO!$A:$A,0)),""))</f>
        <v/>
      </c>
      <c r="F192" s="10"/>
      <c r="G192" s="9" t="str">
        <f>IF(B192="","",IFERROR(INDEX(INVENTARIO!$F:$F,MATCH(B192,INVENTARIO!$A:$A,0)),""))</f>
        <v/>
      </c>
      <c r="H192" s="19" t="str">
        <f t="shared" si="5"/>
        <v/>
      </c>
      <c r="I192" s="5"/>
    </row>
    <row r="193" spans="1:9" x14ac:dyDescent="0.25">
      <c r="A193" s="18"/>
      <c r="B193" s="5"/>
      <c r="C193" s="2" t="str">
        <f>IF(B193="","",IFERROR(INDEX(INVENTARIO!$B:$B,MATCH(B193,INVENTARIO!$A:$A,0)),"No encontrado"))</f>
        <v/>
      </c>
      <c r="D193" s="2" t="str">
        <f>IF(B193="","",IFERROR(INDEX(INVENTARIO!$C:$C,MATCH(B193,INVENTARIO!$A:$A,0)),""))</f>
        <v/>
      </c>
      <c r="E193" s="2" t="str">
        <f>IF(B193="","",IFERROR(INDEX(INVENTARIO!$D:$D,MATCH(B193,INVENTARIO!$A:$A,0)),""))</f>
        <v/>
      </c>
      <c r="F193" s="10"/>
      <c r="G193" s="9" t="str">
        <f>IF(B193="","",IFERROR(INDEX(INVENTARIO!$F:$F,MATCH(B193,INVENTARIO!$A:$A,0)),""))</f>
        <v/>
      </c>
      <c r="H193" s="19" t="str">
        <f t="shared" si="5"/>
        <v/>
      </c>
      <c r="I193" s="5"/>
    </row>
    <row r="194" spans="1:9" x14ac:dyDescent="0.25">
      <c r="A194" s="18"/>
      <c r="B194" s="5"/>
      <c r="C194" s="2" t="str">
        <f>IF(B194="","",IFERROR(INDEX(INVENTARIO!$B:$B,MATCH(B194,INVENTARIO!$A:$A,0)),"No encontrado"))</f>
        <v/>
      </c>
      <c r="D194" s="2" t="str">
        <f>IF(B194="","",IFERROR(INDEX(INVENTARIO!$C:$C,MATCH(B194,INVENTARIO!$A:$A,0)),""))</f>
        <v/>
      </c>
      <c r="E194" s="2" t="str">
        <f>IF(B194="","",IFERROR(INDEX(INVENTARIO!$D:$D,MATCH(B194,INVENTARIO!$A:$A,0)),""))</f>
        <v/>
      </c>
      <c r="F194" s="10"/>
      <c r="G194" s="9" t="str">
        <f>IF(B194="","",IFERROR(INDEX(INVENTARIO!$F:$F,MATCH(B194,INVENTARIO!$A:$A,0)),""))</f>
        <v/>
      </c>
      <c r="H194" s="19" t="str">
        <f t="shared" si="5"/>
        <v/>
      </c>
      <c r="I194" s="5"/>
    </row>
    <row r="195" spans="1:9" x14ac:dyDescent="0.25">
      <c r="A195" s="18"/>
      <c r="B195" s="5"/>
      <c r="C195" s="2" t="str">
        <f>IF(B195="","",IFERROR(INDEX(INVENTARIO!$B:$B,MATCH(B195,INVENTARIO!$A:$A,0)),"No encontrado"))</f>
        <v/>
      </c>
      <c r="D195" s="2" t="str">
        <f>IF(B195="","",IFERROR(INDEX(INVENTARIO!$C:$C,MATCH(B195,INVENTARIO!$A:$A,0)),""))</f>
        <v/>
      </c>
      <c r="E195" s="2" t="str">
        <f>IF(B195="","",IFERROR(INDEX(INVENTARIO!$D:$D,MATCH(B195,INVENTARIO!$A:$A,0)),""))</f>
        <v/>
      </c>
      <c r="F195" s="10"/>
      <c r="G195" s="9" t="str">
        <f>IF(B195="","",IFERROR(INDEX(INVENTARIO!$F:$F,MATCH(B195,INVENTARIO!$A:$A,0)),""))</f>
        <v/>
      </c>
      <c r="H195" s="19" t="str">
        <f t="shared" si="5"/>
        <v/>
      </c>
      <c r="I195" s="5"/>
    </row>
    <row r="196" spans="1:9" x14ac:dyDescent="0.25">
      <c r="A196" s="18"/>
      <c r="B196" s="5"/>
      <c r="C196" s="2" t="str">
        <f>IF(B196="","",IFERROR(INDEX(INVENTARIO!$B:$B,MATCH(B196,INVENTARIO!$A:$A,0)),"No encontrado"))</f>
        <v/>
      </c>
      <c r="D196" s="2" t="str">
        <f>IF(B196="","",IFERROR(INDEX(INVENTARIO!$C:$C,MATCH(B196,INVENTARIO!$A:$A,0)),""))</f>
        <v/>
      </c>
      <c r="E196" s="2" t="str">
        <f>IF(B196="","",IFERROR(INDEX(INVENTARIO!$D:$D,MATCH(B196,INVENTARIO!$A:$A,0)),""))</f>
        <v/>
      </c>
      <c r="F196" s="10"/>
      <c r="G196" s="9" t="str">
        <f>IF(B196="","",IFERROR(INDEX(INVENTARIO!$F:$F,MATCH(B196,INVENTARIO!$A:$A,0)),""))</f>
        <v/>
      </c>
      <c r="H196" s="19" t="str">
        <f t="shared" si="5"/>
        <v/>
      </c>
      <c r="I196" s="5"/>
    </row>
    <row r="197" spans="1:9" x14ac:dyDescent="0.25">
      <c r="A197" s="18"/>
      <c r="B197" s="5"/>
      <c r="C197" s="2" t="str">
        <f>IF(B197="","",IFERROR(INDEX(INVENTARIO!$B:$B,MATCH(B197,INVENTARIO!$A:$A,0)),"No encontrado"))</f>
        <v/>
      </c>
      <c r="D197" s="2" t="str">
        <f>IF(B197="","",IFERROR(INDEX(INVENTARIO!$C:$C,MATCH(B197,INVENTARIO!$A:$A,0)),""))</f>
        <v/>
      </c>
      <c r="E197" s="2" t="str">
        <f>IF(B197="","",IFERROR(INDEX(INVENTARIO!$D:$D,MATCH(B197,INVENTARIO!$A:$A,0)),""))</f>
        <v/>
      </c>
      <c r="F197" s="10"/>
      <c r="G197" s="9" t="str">
        <f>IF(B197="","",IFERROR(INDEX(INVENTARIO!$F:$F,MATCH(B197,INVENTARIO!$A:$A,0)),""))</f>
        <v/>
      </c>
      <c r="H197" s="19" t="str">
        <f t="shared" ref="H197:H204" si="6">IF(B197="","",G197*F197)</f>
        <v/>
      </c>
      <c r="I197" s="5"/>
    </row>
    <row r="198" spans="1:9" x14ac:dyDescent="0.25">
      <c r="A198" s="18"/>
      <c r="B198" s="5"/>
      <c r="C198" s="2" t="str">
        <f>IF(B198="","",IFERROR(INDEX(INVENTARIO!$B:$B,MATCH(B198,INVENTARIO!$A:$A,0)),"No encontrado"))</f>
        <v/>
      </c>
      <c r="D198" s="2" t="str">
        <f>IF(B198="","",IFERROR(INDEX(INVENTARIO!$C:$C,MATCH(B198,INVENTARIO!$A:$A,0)),""))</f>
        <v/>
      </c>
      <c r="E198" s="2" t="str">
        <f>IF(B198="","",IFERROR(INDEX(INVENTARIO!$D:$D,MATCH(B198,INVENTARIO!$A:$A,0)),""))</f>
        <v/>
      </c>
      <c r="F198" s="10"/>
      <c r="G198" s="9" t="str">
        <f>IF(B198="","",IFERROR(INDEX(INVENTARIO!$F:$F,MATCH(B198,INVENTARIO!$A:$A,0)),""))</f>
        <v/>
      </c>
      <c r="H198" s="19" t="str">
        <f t="shared" si="6"/>
        <v/>
      </c>
      <c r="I198" s="5"/>
    </row>
    <row r="199" spans="1:9" x14ac:dyDescent="0.25">
      <c r="A199" s="18"/>
      <c r="B199" s="5"/>
      <c r="C199" s="2" t="str">
        <f>IF(B199="","",IFERROR(INDEX(INVENTARIO!$B:$B,MATCH(B199,INVENTARIO!$A:$A,0)),"No encontrado"))</f>
        <v/>
      </c>
      <c r="D199" s="2" t="str">
        <f>IF(B199="","",IFERROR(INDEX(INVENTARIO!$C:$C,MATCH(B199,INVENTARIO!$A:$A,0)),""))</f>
        <v/>
      </c>
      <c r="E199" s="2" t="str">
        <f>IF(B199="","",IFERROR(INDEX(INVENTARIO!$D:$D,MATCH(B199,INVENTARIO!$A:$A,0)),""))</f>
        <v/>
      </c>
      <c r="F199" s="10"/>
      <c r="G199" s="9" t="str">
        <f>IF(B199="","",IFERROR(INDEX(INVENTARIO!$F:$F,MATCH(B199,INVENTARIO!$A:$A,0)),""))</f>
        <v/>
      </c>
      <c r="H199" s="19" t="str">
        <f t="shared" si="6"/>
        <v/>
      </c>
      <c r="I199" s="5"/>
    </row>
    <row r="200" spans="1:9" x14ac:dyDescent="0.25">
      <c r="A200" s="18"/>
      <c r="B200" s="5"/>
      <c r="C200" s="2" t="str">
        <f>IF(B200="","",IFERROR(INDEX(INVENTARIO!$B:$B,MATCH(B200,INVENTARIO!$A:$A,0)),"No encontrado"))</f>
        <v/>
      </c>
      <c r="D200" s="2" t="str">
        <f>IF(B200="","",IFERROR(INDEX(INVENTARIO!$C:$C,MATCH(B200,INVENTARIO!$A:$A,0)),""))</f>
        <v/>
      </c>
      <c r="E200" s="2" t="str">
        <f>IF(B200="","",IFERROR(INDEX(INVENTARIO!$D:$D,MATCH(B200,INVENTARIO!$A:$A,0)),""))</f>
        <v/>
      </c>
      <c r="F200" s="10"/>
      <c r="G200" s="9" t="str">
        <f>IF(B200="","",IFERROR(INDEX(INVENTARIO!$F:$F,MATCH(B200,INVENTARIO!$A:$A,0)),""))</f>
        <v/>
      </c>
      <c r="H200" s="19" t="str">
        <f t="shared" si="6"/>
        <v/>
      </c>
      <c r="I200" s="5"/>
    </row>
    <row r="201" spans="1:9" x14ac:dyDescent="0.25">
      <c r="A201" s="18"/>
      <c r="B201" s="5"/>
      <c r="C201" s="2" t="str">
        <f>IF(B201="","",IFERROR(INDEX(INVENTARIO!$B:$B,MATCH(B201,INVENTARIO!$A:$A,0)),"No encontrado"))</f>
        <v/>
      </c>
      <c r="D201" s="2" t="str">
        <f>IF(B201="","",IFERROR(INDEX(INVENTARIO!$C:$C,MATCH(B201,INVENTARIO!$A:$A,0)),""))</f>
        <v/>
      </c>
      <c r="E201" s="2" t="str">
        <f>IF(B201="","",IFERROR(INDEX(INVENTARIO!$D:$D,MATCH(B201,INVENTARIO!$A:$A,0)),""))</f>
        <v/>
      </c>
      <c r="F201" s="10"/>
      <c r="G201" s="9" t="str">
        <f>IF(B201="","",IFERROR(INDEX(INVENTARIO!$F:$F,MATCH(B201,INVENTARIO!$A:$A,0)),""))</f>
        <v/>
      </c>
      <c r="H201" s="19" t="str">
        <f t="shared" si="6"/>
        <v/>
      </c>
      <c r="I201" s="5"/>
    </row>
    <row r="202" spans="1:9" x14ac:dyDescent="0.25">
      <c r="A202" s="18"/>
      <c r="B202" s="5"/>
      <c r="C202" s="2" t="str">
        <f>IF(B202="","",IFERROR(INDEX(INVENTARIO!$B:$B,MATCH(B202,INVENTARIO!$A:$A,0)),"No encontrado"))</f>
        <v/>
      </c>
      <c r="D202" s="2" t="str">
        <f>IF(B202="","",IFERROR(INDEX(INVENTARIO!$C:$C,MATCH(B202,INVENTARIO!$A:$A,0)),""))</f>
        <v/>
      </c>
      <c r="E202" s="2" t="str">
        <f>IF(B202="","",IFERROR(INDEX(INVENTARIO!$D:$D,MATCH(B202,INVENTARIO!$A:$A,0)),""))</f>
        <v/>
      </c>
      <c r="F202" s="10"/>
      <c r="G202" s="9" t="str">
        <f>IF(B202="","",IFERROR(INDEX(INVENTARIO!$F:$F,MATCH(B202,INVENTARIO!$A:$A,0)),""))</f>
        <v/>
      </c>
      <c r="H202" s="19" t="str">
        <f t="shared" si="6"/>
        <v/>
      </c>
      <c r="I202" s="5"/>
    </row>
    <row r="203" spans="1:9" x14ac:dyDescent="0.25">
      <c r="A203" s="18"/>
      <c r="B203" s="5"/>
      <c r="C203" s="2" t="str">
        <f>IF(B203="","",IFERROR(INDEX(INVENTARIO!$B:$B,MATCH(B203,INVENTARIO!$A:$A,0)),"No encontrado"))</f>
        <v/>
      </c>
      <c r="D203" s="2" t="str">
        <f>IF(B203="","",IFERROR(INDEX(INVENTARIO!$C:$C,MATCH(B203,INVENTARIO!$A:$A,0)),""))</f>
        <v/>
      </c>
      <c r="E203" s="2" t="str">
        <f>IF(B203="","",IFERROR(INDEX(INVENTARIO!$D:$D,MATCH(B203,INVENTARIO!$A:$A,0)),""))</f>
        <v/>
      </c>
      <c r="F203" s="10"/>
      <c r="G203" s="9" t="str">
        <f>IF(B203="","",IFERROR(INDEX(INVENTARIO!$F:$F,MATCH(B203,INVENTARIO!$A:$A,0)),""))</f>
        <v/>
      </c>
      <c r="H203" s="19" t="str">
        <f t="shared" si="6"/>
        <v/>
      </c>
      <c r="I203" s="5"/>
    </row>
    <row r="204" spans="1:9" x14ac:dyDescent="0.25">
      <c r="A204" s="18"/>
      <c r="B204" s="5"/>
      <c r="C204" s="2" t="str">
        <f>IF(B204="","",IFERROR(INDEX(INVENTARIO!$B:$B,MATCH(B204,INVENTARIO!$A:$A,0)),"No encontrado"))</f>
        <v/>
      </c>
      <c r="D204" s="2" t="str">
        <f>IF(B204="","",IFERROR(INDEX(INVENTARIO!$C:$C,MATCH(B204,INVENTARIO!$A:$A,0)),""))</f>
        <v/>
      </c>
      <c r="E204" s="2" t="str">
        <f>IF(B204="","",IFERROR(INDEX(INVENTARIO!$D:$D,MATCH(B204,INVENTARIO!$A:$A,0)),""))</f>
        <v/>
      </c>
      <c r="F204" s="10"/>
      <c r="G204" s="9" t="str">
        <f>IF(B204="","",IFERROR(INDEX(INVENTARIO!$F:$F,MATCH(B204,INVENTARIO!$A:$A,0)),""))</f>
        <v/>
      </c>
      <c r="H204" s="19" t="str">
        <f t="shared" si="6"/>
        <v/>
      </c>
      <c r="I204" s="5"/>
    </row>
    <row r="206" spans="1:9" ht="15.75" x14ac:dyDescent="0.25">
      <c r="A206" s="27" t="s">
        <v>23</v>
      </c>
      <c r="B206" s="27"/>
      <c r="C206" s="27"/>
      <c r="D206" s="27"/>
      <c r="E206" s="27"/>
      <c r="F206" s="27"/>
      <c r="G206" s="27"/>
      <c r="H206" s="17">
        <f>SUM(H5:H204)</f>
        <v>0</v>
      </c>
    </row>
    <row r="208" spans="1:9" x14ac:dyDescent="0.25">
      <c r="A208" s="26" t="s">
        <v>24</v>
      </c>
      <c r="B208" s="26"/>
      <c r="C208" s="26"/>
      <c r="D208" s="26"/>
      <c r="E208" s="26"/>
      <c r="F208" s="26"/>
      <c r="G208" s="26"/>
      <c r="H208" s="26"/>
      <c r="I208" s="26"/>
    </row>
    <row r="211" spans="1:4" ht="20.25" x14ac:dyDescent="0.3">
      <c r="A211" s="25" t="s">
        <v>25</v>
      </c>
      <c r="B211" s="25"/>
      <c r="C211" s="25"/>
      <c r="D211" s="25"/>
    </row>
    <row r="212" spans="1:4" x14ac:dyDescent="0.25">
      <c r="A212" s="1" t="s">
        <v>1</v>
      </c>
      <c r="B212" s="1" t="s">
        <v>2</v>
      </c>
      <c r="C212" s="1" t="s">
        <v>26</v>
      </c>
      <c r="D212" s="1" t="s">
        <v>27</v>
      </c>
    </row>
    <row r="213" spans="1:4" x14ac:dyDescent="0.25">
      <c r="A213" s="2" t="str">
        <f>IF(INVENTARIO!A4="","",INVENTARIO!A4)</f>
        <v>BLEL-VI-S</v>
      </c>
      <c r="B213" s="2" t="str">
        <f>IF(INVENTARIO!A4="","",INVENTARIO!B4&amp;" - "&amp;INVENTARIO!C4&amp;" "&amp;INVENTARIO!D4)</f>
        <v>Blusa Eliana - Vino S</v>
      </c>
      <c r="C213" s="3">
        <f>IF(INVENTARIO!A4="","",SUMIFS($F$5:$F$204,$B$5:$B$204,INVENTARIO!A4))</f>
        <v>0</v>
      </c>
      <c r="D213" s="4">
        <f>IF(INVENTARIO!A4="","",SUMIFS($H$5:$H$204,$B$5:$B$204,INVENTARIO!A4))</f>
        <v>0</v>
      </c>
    </row>
    <row r="214" spans="1:4" x14ac:dyDescent="0.25">
      <c r="A214" s="2" t="str">
        <f>IF(INVENTARIO!A5="","",INVENTARIO!A5)</f>
        <v>BLEL-VI-M</v>
      </c>
      <c r="B214" s="2" t="str">
        <f>IF(INVENTARIO!A5="","",INVENTARIO!B5&amp;" - "&amp;INVENTARIO!C5&amp;" "&amp;INVENTARIO!D5)</f>
        <v>Blusa Eliana - Vino M</v>
      </c>
      <c r="C214" s="3">
        <f>IF(INVENTARIO!A5="","",SUMIFS($F$5:$F$204,$B$5:$B$204,INVENTARIO!A5))</f>
        <v>0</v>
      </c>
      <c r="D214" s="4">
        <f>IF(INVENTARIO!A5="","",SUMIFS($H$5:$H$204,$B$5:$B$204,INVENTARIO!A5))</f>
        <v>0</v>
      </c>
    </row>
    <row r="215" spans="1:4" x14ac:dyDescent="0.25">
      <c r="A215" s="2" t="str">
        <f>IF(INVENTARIO!A6="","",INVENTARIO!A6)</f>
        <v>BLAN-NE-S</v>
      </c>
      <c r="B215" s="2" t="str">
        <f>IF(INVENTARIO!A6="","",INVENTARIO!B6&amp;" - "&amp;INVENTARIO!C6&amp;" "&amp;INVENTARIO!D6)</f>
        <v>Blusa Ana - Negro S</v>
      </c>
      <c r="C215" s="3">
        <f>IF(INVENTARIO!A6="","",SUMIFS($F$5:$F$204,$B$5:$B$204,INVENTARIO!A6))</f>
        <v>0</v>
      </c>
      <c r="D215" s="4">
        <f>IF(INVENTARIO!A6="","",SUMIFS($H$5:$H$204,$B$5:$B$204,INVENTARIO!A6))</f>
        <v>0</v>
      </c>
    </row>
    <row r="216" spans="1:4" x14ac:dyDescent="0.25">
      <c r="A216" s="2" t="str">
        <f>IF(INVENTARIO!A7="","",INVENTARIO!A7)</f>
        <v>BLAN-NE-M</v>
      </c>
      <c r="B216" s="2" t="str">
        <f>IF(INVENTARIO!A7="","",INVENTARIO!B7&amp;" - "&amp;INVENTARIO!C7&amp;" "&amp;INVENTARIO!D7)</f>
        <v>Blusa Ana - Negro M</v>
      </c>
      <c r="C216" s="3">
        <f>IF(INVENTARIO!A7="","",SUMIFS($F$5:$F$204,$B$5:$B$204,INVENTARIO!A7))</f>
        <v>0</v>
      </c>
      <c r="D216" s="4">
        <f>IF(INVENTARIO!A7="","",SUMIFS($H$5:$H$204,$B$5:$B$204,INVENTARIO!A7))</f>
        <v>0</v>
      </c>
    </row>
    <row r="217" spans="1:4" x14ac:dyDescent="0.25">
      <c r="A217" s="2" t="str">
        <f>IF(INVENTARIO!A8="","",INVENTARIO!A8)</f>
        <v>BLAN-RO-S</v>
      </c>
      <c r="B217" s="2" t="str">
        <f>IF(INVENTARIO!A8="","",INVENTARIO!B8&amp;" - "&amp;INVENTARIO!C8&amp;" "&amp;INVENTARIO!D8)</f>
        <v>Blusa Ana - Palo de Rosa S</v>
      </c>
      <c r="C217" s="3">
        <f>IF(INVENTARIO!A8="","",SUMIFS($F$5:$F$204,$B$5:$B$204,INVENTARIO!A8))</f>
        <v>0</v>
      </c>
      <c r="D217" s="4">
        <f>IF(INVENTARIO!A8="","",SUMIFS($H$5:$H$204,$B$5:$B$204,INVENTARIO!A8))</f>
        <v>0</v>
      </c>
    </row>
    <row r="218" spans="1:4" x14ac:dyDescent="0.25">
      <c r="A218" s="2" t="str">
        <f>IF(INVENTARIO!A9="","",INVENTARIO!A9)</f>
        <v>BLAN-RO-M</v>
      </c>
      <c r="B218" s="2" t="str">
        <f>IF(INVENTARIO!A9="","",INVENTARIO!B9&amp;" - "&amp;INVENTARIO!C9&amp;" "&amp;INVENTARIO!D9)</f>
        <v>Blusa Ana - Palo de Rosa M</v>
      </c>
      <c r="C218" s="3">
        <f>IF(INVENTARIO!A9="","",SUMIFS($F$5:$F$204,$B$5:$B$204,INVENTARIO!A9))</f>
        <v>0</v>
      </c>
      <c r="D218" s="4">
        <f>IF(INVENTARIO!A9="","",SUMIFS($H$5:$H$204,$B$5:$B$204,INVENTARIO!A9))</f>
        <v>0</v>
      </c>
    </row>
    <row r="219" spans="1:4" x14ac:dyDescent="0.25">
      <c r="A219" s="2" t="str">
        <f>IF(INVENTARIO!A10="","",INVENTARIO!A10)</f>
        <v>BLAN-BC-S</v>
      </c>
      <c r="B219" s="2" t="str">
        <f>IF(INVENTARIO!A10="","",INVENTARIO!B10&amp;" - "&amp;INVENTARIO!C10&amp;" "&amp;INVENTARIO!D10)</f>
        <v>Blusa Ana - Blanco S</v>
      </c>
      <c r="C219" s="3">
        <f>IF(INVENTARIO!A10="","",SUMIFS($F$5:$F$204,$B$5:$B$204,INVENTARIO!A10))</f>
        <v>0</v>
      </c>
      <c r="D219" s="4">
        <f>IF(INVENTARIO!A10="","",SUMIFS($H$5:$H$204,$B$5:$B$204,INVENTARIO!A10))</f>
        <v>0</v>
      </c>
    </row>
    <row r="220" spans="1:4" x14ac:dyDescent="0.25">
      <c r="A220" s="2" t="str">
        <f>IF(INVENTARIO!A11="","",INVENTARIO!A11)</f>
        <v>BLAN-BC-M</v>
      </c>
      <c r="B220" s="2" t="str">
        <f>IF(INVENTARIO!A11="","",INVENTARIO!B11&amp;" - "&amp;INVENTARIO!C11&amp;" "&amp;INVENTARIO!D11)</f>
        <v>Blusa Ana - Blanco M</v>
      </c>
      <c r="C220" s="3">
        <f>IF(INVENTARIO!A11="","",SUMIFS($F$5:$F$204,$B$5:$B$204,INVENTARIO!A11))</f>
        <v>0</v>
      </c>
      <c r="D220" s="4">
        <f>IF(INVENTARIO!A11="","",SUMIFS($H$5:$H$204,$B$5:$B$204,INVENTARIO!A11))</f>
        <v>0</v>
      </c>
    </row>
    <row r="221" spans="1:4" x14ac:dyDescent="0.25">
      <c r="A221" s="2" t="str">
        <f>IF(INVENTARIO!A12="","",INVENTARIO!A12)</f>
        <v>BLKC-RO-S</v>
      </c>
      <c r="B221" s="2" t="str">
        <f>IF(INVENTARIO!A12="","",INVENTARIO!B12&amp;" - "&amp;INVENTARIO!C12&amp;" "&amp;INVENTARIO!D12)</f>
        <v>Blusa Kaila Crop - Rosa Pastel S</v>
      </c>
      <c r="C221" s="3">
        <f>IF(INVENTARIO!A12="","",SUMIFS($F$5:$F$204,$B$5:$B$204,INVENTARIO!A12))</f>
        <v>0</v>
      </c>
      <c r="D221" s="4">
        <f>IF(INVENTARIO!A12="","",SUMIFS($H$5:$H$204,$B$5:$B$204,INVENTARIO!A12))</f>
        <v>0</v>
      </c>
    </row>
    <row r="222" spans="1:4" x14ac:dyDescent="0.25">
      <c r="A222" s="2" t="str">
        <f>IF(INVENTARIO!A13="","",INVENTARIO!A13)</f>
        <v>BLKC-RO-M</v>
      </c>
      <c r="B222" s="2" t="str">
        <f>IF(INVENTARIO!A13="","",INVENTARIO!B13&amp;" - "&amp;INVENTARIO!C13&amp;" "&amp;INVENTARIO!D13)</f>
        <v>Blusa Kaila Crop - Rosa Pastel M</v>
      </c>
      <c r="C222" s="3">
        <f>IF(INVENTARIO!A13="","",SUMIFS($F$5:$F$204,$B$5:$B$204,INVENTARIO!A13))</f>
        <v>0</v>
      </c>
      <c r="D222" s="4">
        <f>IF(INVENTARIO!A13="","",SUMIFS($H$5:$H$204,$B$5:$B$204,INVENTARIO!A13))</f>
        <v>0</v>
      </c>
    </row>
    <row r="223" spans="1:4" x14ac:dyDescent="0.25">
      <c r="A223" s="2" t="str">
        <f>IF(INVENTARIO!A14="","",INVENTARIO!A14)</f>
        <v>BLNH-NE-S</v>
      </c>
      <c r="B223" s="2" t="str">
        <f>IF(INVENTARIO!A14="","",INVENTARIO!B14&amp;" - "&amp;INVENTARIO!C14&amp;" "&amp;INVENTARIO!D14)</f>
        <v>Blusa Naho - Negro S</v>
      </c>
      <c r="C223" s="3">
        <f>IF(INVENTARIO!A14="","",SUMIFS($F$5:$F$204,$B$5:$B$204,INVENTARIO!A14))</f>
        <v>0</v>
      </c>
      <c r="D223" s="4">
        <f>IF(INVENTARIO!A14="","",SUMIFS($H$5:$H$204,$B$5:$B$204,INVENTARIO!A14))</f>
        <v>0</v>
      </c>
    </row>
    <row r="224" spans="1:4" x14ac:dyDescent="0.25">
      <c r="A224" s="2" t="str">
        <f>IF(INVENTARIO!A15="","",INVENTARIO!A15)</f>
        <v>BLNH-NE-M</v>
      </c>
      <c r="B224" s="2" t="str">
        <f>IF(INVENTARIO!A15="","",INVENTARIO!B15&amp;" - "&amp;INVENTARIO!C15&amp;" "&amp;INVENTARIO!D15)</f>
        <v>Blusa Naho - Negro M</v>
      </c>
      <c r="C224" s="3">
        <f>IF(INVENTARIO!A15="","",SUMIFS($F$5:$F$204,$B$5:$B$204,INVENTARIO!A15))</f>
        <v>0</v>
      </c>
      <c r="D224" s="4">
        <f>IF(INVENTARIO!A15="","",SUMIFS($H$5:$H$204,$B$5:$B$204,INVENTARIO!A15))</f>
        <v>0</v>
      </c>
    </row>
    <row r="225" spans="1:4" x14ac:dyDescent="0.25">
      <c r="A225" s="2" t="str">
        <f>IF(INVENTARIO!A16="","",INVENTARIO!A16)</f>
        <v>BLNH-CF-S</v>
      </c>
      <c r="B225" s="2" t="str">
        <f>IF(INVENTARIO!A16="","",INVENTARIO!B16&amp;" - "&amp;INVENTARIO!C16&amp;" "&amp;INVENTARIO!D16)</f>
        <v>Blusa Naho - Café S</v>
      </c>
      <c r="C225" s="3">
        <f>IF(INVENTARIO!A16="","",SUMIFS($F$5:$F$204,$B$5:$B$204,INVENTARIO!A16))</f>
        <v>0</v>
      </c>
      <c r="D225" s="4">
        <f>IF(INVENTARIO!A16="","",SUMIFS($H$5:$H$204,$B$5:$B$204,INVENTARIO!A16))</f>
        <v>0</v>
      </c>
    </row>
    <row r="226" spans="1:4" x14ac:dyDescent="0.25">
      <c r="A226" s="2" t="str">
        <f>IF(INVENTARIO!A17="","",INVENTARIO!A17)</f>
        <v>BLNH-CF-M</v>
      </c>
      <c r="B226" s="2" t="str">
        <f>IF(INVENTARIO!A17="","",INVENTARIO!B17&amp;" - "&amp;INVENTARIO!C17&amp;" "&amp;INVENTARIO!D17)</f>
        <v>Blusa Naho - Café M</v>
      </c>
      <c r="C226" s="3">
        <f>IF(INVENTARIO!A17="","",SUMIFS($F$5:$F$204,$B$5:$B$204,INVENTARIO!A17))</f>
        <v>0</v>
      </c>
      <c r="D226" s="4">
        <f>IF(INVENTARIO!A17="","",SUMIFS($H$5:$H$204,$B$5:$B$204,INVENTARIO!A17))</f>
        <v>0</v>
      </c>
    </row>
    <row r="227" spans="1:4" x14ac:dyDescent="0.25">
      <c r="A227" s="2" t="str">
        <f>IF(INVENTARIO!A18="","",INVENTARIO!A18)</f>
        <v>BLNH-CB-S</v>
      </c>
      <c r="B227" s="2" t="str">
        <f>IF(INVENTARIO!A18="","",INVENTARIO!B18&amp;" - "&amp;INVENTARIO!C18&amp;" "&amp;INVENTARIO!D18)</f>
        <v>Blusa Naho - Cebra S</v>
      </c>
      <c r="C227" s="3">
        <f>IF(INVENTARIO!A18="","",SUMIFS($F$5:$F$204,$B$5:$B$204,INVENTARIO!A18))</f>
        <v>0</v>
      </c>
      <c r="D227" s="4">
        <f>IF(INVENTARIO!A18="","",SUMIFS($H$5:$H$204,$B$5:$B$204,INVENTARIO!A18))</f>
        <v>0</v>
      </c>
    </row>
    <row r="228" spans="1:4" x14ac:dyDescent="0.25">
      <c r="A228" s="2" t="str">
        <f>IF(INVENTARIO!A19="","",INVENTARIO!A19)</f>
        <v>BLNH-CB-M</v>
      </c>
      <c r="B228" s="2" t="str">
        <f>IF(INVENTARIO!A19="","",INVENTARIO!B19&amp;" - "&amp;INVENTARIO!C19&amp;" "&amp;INVENTARIO!D19)</f>
        <v>Blusa Naho - Cebra M</v>
      </c>
      <c r="C228" s="3">
        <f>IF(INVENTARIO!A19="","",SUMIFS($F$5:$F$204,$B$5:$B$204,INVENTARIO!A19))</f>
        <v>0</v>
      </c>
      <c r="D228" s="4">
        <f>IF(INVENTARIO!A19="","",SUMIFS($H$5:$H$204,$B$5:$B$204,INVENTARIO!A19))</f>
        <v>0</v>
      </c>
    </row>
    <row r="229" spans="1:4" x14ac:dyDescent="0.25">
      <c r="A229" s="2" t="str">
        <f>IF(INVENTARIO!A20="","",INVENTARIO!A20)</f>
        <v>BZSL-BC-ET</v>
      </c>
      <c r="B229" s="2" t="str">
        <f>IF(INVENTARIO!A20="","",INVENTARIO!B20&amp;" - "&amp;INVENTARIO!C20&amp;" "&amp;INVENTARIO!D20)</f>
        <v>Buzo Sol - Blanco Estandar</v>
      </c>
      <c r="C229" s="3">
        <f>IF(INVENTARIO!A20="","",SUMIFS($F$5:$F$204,$B$5:$B$204,INVENTARIO!A20))</f>
        <v>0</v>
      </c>
      <c r="D229" s="4">
        <f>IF(INVENTARIO!A20="","",SUMIFS($H$5:$H$204,$B$5:$B$204,INVENTARIO!A20))</f>
        <v>0</v>
      </c>
    </row>
    <row r="230" spans="1:4" x14ac:dyDescent="0.25">
      <c r="A230" s="2" t="str">
        <f>IF(INVENTARIO!A21="","",INVENTARIO!A21)</f>
        <v>BZCM-NE-S</v>
      </c>
      <c r="B230" s="2" t="str">
        <f>IF(INVENTARIO!A21="","",INVENTARIO!B21&amp;" - "&amp;INVENTARIO!C21&amp;" "&amp;INVENTARIO!D21)</f>
        <v>Buzo Carmen - Negro S</v>
      </c>
      <c r="C230" s="3">
        <f>IF(INVENTARIO!A21="","",SUMIFS($F$5:$F$204,$B$5:$B$204,INVENTARIO!A21))</f>
        <v>0</v>
      </c>
      <c r="D230" s="4">
        <f>IF(INVENTARIO!A21="","",SUMIFS($H$5:$H$204,$B$5:$B$204,INVENTARIO!A21))</f>
        <v>0</v>
      </c>
    </row>
    <row r="231" spans="1:4" x14ac:dyDescent="0.25">
      <c r="A231" s="2" t="str">
        <f>IF(INVENTARIO!A22="","",INVENTARIO!A22)</f>
        <v>BZCM-NE-M</v>
      </c>
      <c r="B231" s="2" t="str">
        <f>IF(INVENTARIO!A22="","",INVENTARIO!B22&amp;" - "&amp;INVENTARIO!C22&amp;" "&amp;INVENTARIO!D22)</f>
        <v>Buzo Carmen - Negro M</v>
      </c>
      <c r="C231" s="3">
        <f>IF(INVENTARIO!A22="","",SUMIFS($F$5:$F$204,$B$5:$B$204,INVENTARIO!A22))</f>
        <v>0</v>
      </c>
      <c r="D231" s="4">
        <f>IF(INVENTARIO!A22="","",SUMIFS($H$5:$H$204,$B$5:$B$204,INVENTARIO!A22))</f>
        <v>0</v>
      </c>
    </row>
    <row r="232" spans="1:4" x14ac:dyDescent="0.25">
      <c r="A232" s="2" t="str">
        <f>IF(INVENTARIO!A23="","",INVENTARIO!A23)</f>
        <v>BZCM-BC-S</v>
      </c>
      <c r="B232" s="2" t="str">
        <f>IF(INVENTARIO!A23="","",INVENTARIO!B23&amp;" - "&amp;INVENTARIO!C23&amp;" "&amp;INVENTARIO!D23)</f>
        <v>Buzo Carmen - Blanco S</v>
      </c>
      <c r="C232" s="3">
        <f>IF(INVENTARIO!A23="","",SUMIFS($F$5:$F$204,$B$5:$B$204,INVENTARIO!A23))</f>
        <v>0</v>
      </c>
      <c r="D232" s="4">
        <f>IF(INVENTARIO!A23="","",SUMIFS($H$5:$H$204,$B$5:$B$204,INVENTARIO!A23))</f>
        <v>0</v>
      </c>
    </row>
    <row r="233" spans="1:4" x14ac:dyDescent="0.25">
      <c r="A233" s="2" t="str">
        <f>IF(INVENTARIO!A24="","",INVENTARIO!A24)</f>
        <v>BZCM-BC-M</v>
      </c>
      <c r="B233" s="2" t="str">
        <f>IF(INVENTARIO!A24="","",INVENTARIO!B24&amp;" - "&amp;INVENTARIO!C24&amp;" "&amp;INVENTARIO!D24)</f>
        <v>Buzo Carmen - Blanco M</v>
      </c>
      <c r="C233" s="3">
        <f>IF(INVENTARIO!A24="","",SUMIFS($F$5:$F$204,$B$5:$B$204,INVENTARIO!A24))</f>
        <v>0</v>
      </c>
      <c r="D233" s="4">
        <f>IF(INVENTARIO!A24="","",SUMIFS($H$5:$H$204,$B$5:$B$204,INVENTARIO!A24))</f>
        <v>0</v>
      </c>
    </row>
    <row r="234" spans="1:4" x14ac:dyDescent="0.25">
      <c r="A234" s="2" t="str">
        <f>IF(INVENTARIO!A25="","",INVENTARIO!A25)</f>
        <v>BZSM-NE-S</v>
      </c>
      <c r="B234" s="2" t="str">
        <f>IF(INVENTARIO!A25="","",INVENTARIO!B25&amp;" - "&amp;INVENTARIO!C25&amp;" "&amp;INVENTARIO!D25)</f>
        <v>Buzo Samara - Negro S</v>
      </c>
      <c r="C234" s="3">
        <f>IF(INVENTARIO!A25="","",SUMIFS($F$5:$F$204,$B$5:$B$204,INVENTARIO!A25))</f>
        <v>0</v>
      </c>
      <c r="D234" s="4">
        <f>IF(INVENTARIO!A25="","",SUMIFS($H$5:$H$204,$B$5:$B$204,INVENTARIO!A25))</f>
        <v>0</v>
      </c>
    </row>
    <row r="235" spans="1:4" x14ac:dyDescent="0.25">
      <c r="A235" s="2" t="str">
        <f>IF(INVENTARIO!A26="","",INVENTARIO!A26)</f>
        <v>BZSM-NE-M</v>
      </c>
      <c r="B235" s="2" t="str">
        <f>IF(INVENTARIO!A26="","",INVENTARIO!B26&amp;" - "&amp;INVENTARIO!C26&amp;" "&amp;INVENTARIO!D26)</f>
        <v>Buzo Samara - Negro M</v>
      </c>
      <c r="C235" s="3">
        <f>IF(INVENTARIO!A26="","",SUMIFS($F$5:$F$204,$B$5:$B$204,INVENTARIO!A26))</f>
        <v>0</v>
      </c>
      <c r="D235" s="4">
        <f>IF(INVENTARIO!A26="","",SUMIFS($H$5:$H$204,$B$5:$B$204,INVENTARIO!A26))</f>
        <v>0</v>
      </c>
    </row>
    <row r="236" spans="1:4" x14ac:dyDescent="0.25">
      <c r="A236" s="2" t="str">
        <f>IF(INVENTARIO!A27="","",INVENTARIO!A27)</f>
        <v>BZSM-BC-S</v>
      </c>
      <c r="B236" s="2" t="str">
        <f>IF(INVENTARIO!A27="","",INVENTARIO!B27&amp;" - "&amp;INVENTARIO!C27&amp;" "&amp;INVENTARIO!D27)</f>
        <v>Buzo Samara - Blanco S</v>
      </c>
      <c r="C236" s="3">
        <f>IF(INVENTARIO!A27="","",SUMIFS($F$5:$F$204,$B$5:$B$204,INVENTARIO!A27))</f>
        <v>0</v>
      </c>
      <c r="D236" s="4">
        <f>IF(INVENTARIO!A27="","",SUMIFS($H$5:$H$204,$B$5:$B$204,INVENTARIO!A27))</f>
        <v>0</v>
      </c>
    </row>
    <row r="237" spans="1:4" x14ac:dyDescent="0.25">
      <c r="A237" s="2" t="str">
        <f>IF(INVENTARIO!A28="","",INVENTARIO!A28)</f>
        <v>BZSM-BC-M</v>
      </c>
      <c r="B237" s="2" t="str">
        <f>IF(INVENTARIO!A28="","",INVENTARIO!B28&amp;" - "&amp;INVENTARIO!C28&amp;" "&amp;INVENTARIO!D28)</f>
        <v>Buzo Samara - Blanco M</v>
      </c>
      <c r="C237" s="3">
        <f>IF(INVENTARIO!A28="","",SUMIFS($F$5:$F$204,$B$5:$B$204,INVENTARIO!A28))</f>
        <v>0</v>
      </c>
      <c r="D237" s="4">
        <f>IF(INVENTARIO!A28="","",SUMIFS($H$5:$H$204,$B$5:$B$204,INVENTARIO!A28))</f>
        <v>0</v>
      </c>
    </row>
    <row r="238" spans="1:4" x14ac:dyDescent="0.25">
      <c r="A238" s="2" t="str">
        <f>IF(INVENTARIO!A29="","",INVENTARIO!A29)</f>
        <v>BLM-BCP-S</v>
      </c>
      <c r="B238" s="2" t="str">
        <f>IF(INVENTARIO!A29="","",INVENTARIO!B29&amp;" - "&amp;INVENTARIO!C29&amp;" "&amp;INVENTARIO!D29)</f>
        <v>Blusa Mia - Blanco perla S</v>
      </c>
      <c r="C238" s="3">
        <f>IF(INVENTARIO!A29="","",SUMIFS($F$5:$F$204,$B$5:$B$204,INVENTARIO!A29))</f>
        <v>0</v>
      </c>
      <c r="D238" s="4">
        <f>IF(INVENTARIO!A29="","",SUMIFS($H$5:$H$204,$B$5:$B$204,INVENTARIO!A29))</f>
        <v>0</v>
      </c>
    </row>
    <row r="239" spans="1:4" x14ac:dyDescent="0.25">
      <c r="A239" s="2" t="str">
        <f>IF(INVENTARIO!A282="","",INVENTARIO!A282)</f>
        <v/>
      </c>
      <c r="B239" s="2" t="str">
        <f>IF(INVENTARIO!A282="","",INVENTARIO!B282&amp;" - "&amp;INVENTARIO!C282&amp;" "&amp;INVENTARIO!D282)</f>
        <v/>
      </c>
      <c r="C239" s="3" t="str">
        <f>IF(INVENTARIO!A282="","",SUMIFS($F$5:$F$204,$B$5:$B$204,INVENTARIO!A282))</f>
        <v/>
      </c>
      <c r="D239" s="4" t="str">
        <f>IF(INVENTARIO!A282="","",SUMIFS($H$5:$H$204,$B$5:$B$204,INVENTARIO!A282))</f>
        <v/>
      </c>
    </row>
    <row r="241" spans="1:4" x14ac:dyDescent="0.25">
      <c r="A241" s="26" t="s">
        <v>28</v>
      </c>
      <c r="B241" s="26"/>
      <c r="C241" s="26"/>
      <c r="D241" s="26"/>
    </row>
  </sheetData>
  <mergeCells count="6">
    <mergeCell ref="A241:D241"/>
    <mergeCell ref="A1:I1"/>
    <mergeCell ref="A2:I2"/>
    <mergeCell ref="A206:G206"/>
    <mergeCell ref="A208:I208"/>
    <mergeCell ref="A211:D211"/>
  </mergeCells>
  <pageMargins left="0.75" right="0.75" top="1" bottom="1" header="0.511811023622047" footer="0.511811023622047"/>
  <pageSetup paperSize="9" scale="65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Código inválido" error="Ese código no existe en INVENTARIO. Elige uno de la lista." xr:uid="{00000000-0002-0000-0200-000000000000}">
          <x14:formula1>
            <xm:f>INVENTARIO!$A$4:$A$282</xm:f>
          </x14:formula1>
          <x14:formula2>
            <xm:f>0</xm:f>
          </x14:formula2>
          <xm:sqref>B5:B204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79454c8-c2b0-43c3-bf91-c2ade4850a2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BC80781FDA34D4382431C22490055B1" ma:contentTypeVersion="5" ma:contentTypeDescription="Crear nuevo documento." ma:contentTypeScope="" ma:versionID="cbb18757d506a1ba552d1db2c9618487">
  <xsd:schema xmlns:xsd="http://www.w3.org/2001/XMLSchema" xmlns:xs="http://www.w3.org/2001/XMLSchema" xmlns:p="http://schemas.microsoft.com/office/2006/metadata/properties" xmlns:ns3="279454c8-c2b0-43c3-bf91-c2ade4850a20" targetNamespace="http://schemas.microsoft.com/office/2006/metadata/properties" ma:root="true" ma:fieldsID="af2b2e46c7d3fb6f15874c25999e153e" ns3:_="">
    <xsd:import namespace="279454c8-c2b0-43c3-bf91-c2ade4850a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9454c8-c2b0-43c3-bf91-c2ade4850a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677273-FAE8-4178-8D39-BF984B708ED6}">
  <ds:schemaRefs>
    <ds:schemaRef ds:uri="http://schemas.openxmlformats.org/package/2006/metadata/core-properties"/>
    <ds:schemaRef ds:uri="http://schemas.microsoft.com/office/infopath/2007/PartnerControls"/>
    <ds:schemaRef ds:uri="279454c8-c2b0-43c3-bf91-c2ade4850a20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B1769A4-8783-4AD8-835F-9FB1BC510C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79454c8-c2b0-43c3-bf91-c2ade4850a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729A07-5D4A-407D-BFE4-A065FA89D93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VENTAS</vt:lpstr>
      <vt:lpstr>HISTORIAL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jose gordillo</cp:lastModifiedBy>
  <cp:revision>0</cp:revision>
  <dcterms:created xsi:type="dcterms:W3CDTF">2026-08-28T18:04:26Z</dcterms:created>
  <dcterms:modified xsi:type="dcterms:W3CDTF">2026-09-11T22:27:18Z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0x0101005BC80781FDA34D4382431C22490055B1</vt:lpwstr>
  </property>
</Properties>
</file>